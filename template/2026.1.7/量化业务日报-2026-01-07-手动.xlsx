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1" activeTab="3"/>
  </bookViews>
  <sheets>
    <sheet name="量化二-结算数据" sheetId="1" r:id="rId1"/>
    <sheet name="量化二-收盘数据" sheetId="2" r:id="rId2"/>
    <sheet name="量化三-结算数据" sheetId="3" r:id="rId3"/>
    <sheet name="量化三-收盘数据" sheetId="4" r:id="rId4"/>
    <sheet name="量化二持仓信息" sheetId="5" r:id="rId5"/>
    <sheet name="量化二持仓信息--详细统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<sst xmlns="http://schemas.openxmlformats.org/spreadsheetml/2006/main" count="239" uniqueCount="98">
  <si>
    <t>统计日期</t>
  </si>
  <si>
    <t>2026-01-07, (金额单位：元)</t>
  </si>
  <si>
    <t>一、账户资产及收益情况</t>
  </si>
  <si>
    <t>账户名称</t>
  </si>
  <si>
    <t>量化二</t>
  </si>
  <si>
    <t>账户编号</t>
  </si>
  <si>
    <t>资产单元名称</t>
  </si>
  <si>
    <t>量化二-投机单元</t>
  </si>
  <si>
    <t>账户资产净值</t>
  </si>
  <si>
    <t>返息</t>
  </si>
  <si>
    <t>手续费</t>
  </si>
  <si>
    <t>总盈利/亏损(含返息、手续费)</t>
  </si>
  <si>
    <t>收益率(含返息、手续费)</t>
  </si>
  <si>
    <t>-0.5321%</t>
  </si>
  <si>
    <t>总盈利/亏损(不含返息、手续费)</t>
  </si>
  <si>
    <t>收益率(不含返息、手续费)</t>
  </si>
  <si>
    <t>二、净值列示</t>
  </si>
  <si>
    <t>实收资本</t>
  </si>
  <si>
    <t>资产净值</t>
  </si>
  <si>
    <t>总份额</t>
  </si>
  <si>
    <t>期初单位净值</t>
  </si>
  <si>
    <t>昨日单位净值(含返息、手续费)</t>
  </si>
  <si>
    <t>单位净值(含返息、手续费)</t>
  </si>
  <si>
    <t>日净值增长率(含返息、手续费)</t>
  </si>
  <si>
    <t>-0.51717%</t>
  </si>
  <si>
    <t>昨日单位净值(不含返息、手续费)</t>
  </si>
  <si>
    <t>单位净值(不含返息、手续费)</t>
  </si>
  <si>
    <t>日净值增长率(不含返息、手续费)</t>
  </si>
  <si>
    <t>三、保证金使用情况</t>
  </si>
  <si>
    <t>占用</t>
  </si>
  <si>
    <t>账户权益</t>
  </si>
  <si>
    <t>风险度</t>
  </si>
  <si>
    <t>4.7811%</t>
  </si>
  <si>
    <t>四、交易情况</t>
  </si>
  <si>
    <t>交易方向及数量</t>
  </si>
  <si>
    <t>今日交易 26 只期货合约 成交合约价值 717.71 万元
卖出开仓: 4 只
买入平仓: 8 只
买入开仓: 18 只
卖出平仓: 6 只</t>
  </si>
  <si>
    <t>五、持仓情况</t>
  </si>
  <si>
    <t>持仓品种及数量</t>
  </si>
  <si>
    <t>共持仓 35只期货， 持仓合约价值 631.6 万元, 
其中空仓: 10 只,多仓: 25 只</t>
  </si>
  <si>
    <t>-0.2967%</t>
  </si>
  <si>
    <t>-0.23482%</t>
  </si>
  <si>
    <t>4.7043%</t>
  </si>
  <si>
    <t>量化三</t>
  </si>
  <si>
    <t>量化三投机</t>
  </si>
  <si>
    <t>量化三股票单元</t>
  </si>
  <si>
    <t>单元资产净值</t>
  </si>
  <si>
    <t>返息、逆回购</t>
  </si>
  <si>
    <t>-</t>
  </si>
  <si>
    <t>总盈利/亏损(含返息、逆回购、手续费)</t>
  </si>
  <si>
    <t>收益率(含返息、逆回购、手续费)</t>
  </si>
  <si>
    <t>0.1485%</t>
  </si>
  <si>
    <t>总盈利/亏损(不含返息、逆回购、手续费)</t>
  </si>
  <si>
    <t>收益率(不含返息、逆回购、手续费)</t>
  </si>
  <si>
    <t>0.1465%</t>
  </si>
  <si>
    <t>昨日单位净值(含返息、逆回购、手续费)</t>
  </si>
  <si>
    <t>单位净值(含返息、逆回购、手续费)</t>
  </si>
  <si>
    <t>日净值增长率(含返息、逆回购、手续费)</t>
  </si>
  <si>
    <t>0.00145%</t>
  </si>
  <si>
    <t>昨日单位净值(不含返息、逆回购、手续费)</t>
  </si>
  <si>
    <t>单位净值(不含返息、逆回购、手续费)</t>
  </si>
  <si>
    <t>日净值增长率(不含返息、逆回购、手续费)</t>
  </si>
  <si>
    <t>0.00053%</t>
  </si>
  <si>
    <t>0.0%</t>
  </si>
  <si>
    <t>今日交易 2 只期货, 成交合约价值 1225.09 万元,其中
1.国债期货:
买入开仓: 1只 (TL2603)
卖出平仓: 1只 (TL2603)
2.黄金期货:
买入开仓: 1只 (au2602)
卖出平仓: 1只 (au2602)
3.铜期货:无
4.其他品种:无</t>
  </si>
  <si>
    <t>买入股票: 0 只, 卖出股票: 0 只, 股票合计成交金额: 0 元</t>
  </si>
  <si>
    <t xml:space="preserve">共持仓: 0 只期货, 持仓合约价值 0.0 万元, 其中: 
国债期货 0只 
黄金期货 0只 
铜期货 0只 
其他品种 0只 </t>
  </si>
  <si>
    <t>股票: 4 只</t>
  </si>
  <si>
    <t>盈利/亏损(含返息、逆回购、手续费)</t>
  </si>
  <si>
    <t>盈利/亏损(不含返息、逆回购、手续费)</t>
  </si>
  <si>
    <t>0.00052%</t>
  </si>
  <si>
    <t>量化二持仓信息</t>
  </si>
  <si>
    <t>2026-01-07</t>
  </si>
  <si>
    <t>单位：万元</t>
  </si>
  <si>
    <t>行业</t>
  </si>
  <si>
    <t>多头市值</t>
  </si>
  <si>
    <t>空头市值</t>
  </si>
  <si>
    <t>净市值</t>
  </si>
  <si>
    <t>农副</t>
  </si>
  <si>
    <t>有色</t>
  </si>
  <si>
    <t>能化</t>
  </si>
  <si>
    <t>黑色</t>
  </si>
  <si>
    <t>贵金属</t>
  </si>
  <si>
    <t>股指期货</t>
  </si>
  <si>
    <t>其他</t>
  </si>
  <si>
    <t>合计</t>
  </si>
  <si>
    <t>汇总</t>
  </si>
  <si>
    <t>风险度：</t>
  </si>
  <si>
    <t>权益：</t>
  </si>
  <si>
    <t>当日盈亏：</t>
  </si>
  <si>
    <t>总市值：</t>
  </si>
  <si>
    <t>去锁市值：</t>
  </si>
  <si>
    <t>平仓盈亏：</t>
  </si>
  <si>
    <t>棕榈油2605, 棉花2605, 鲜鸡蛋2603, 白糖2605, 玉米淀粉2603, 苹果2605, 玉米2603, 红枣2605, 生猪2603, 豆粕2605, 豆油2605</t>
  </si>
  <si>
    <t>不锈钢2602, 氧化铝2605, 铅2602, 工业硅2605</t>
  </si>
  <si>
    <t>玻璃2605, 低硫燃料油2603, 乙二醇2605, 石油沥青2603, PTA2605, 纯碱2605, 聚乙烯2605, 苯乙烯2602, 聚丙烯2605, 尿素2605, 天然橡胶2605, 甲醇N2605, 聚氯乙烯2605</t>
  </si>
  <si>
    <t>焦煤2605, 热轧卷板2605, 锰硅2603, 铁矿石2605, 螺纹钢2605, 硅铁2603</t>
  </si>
  <si>
    <t/>
  </si>
  <si>
    <t>漂白硫酸盐针叶木浆2605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</si>
</sst>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%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ADADE"/>
        <bgColor rgb="FFFADADE"/>
      </patternFill>
    </fill>
    <fill>
      <patternFill patternType="solid">
        <fgColor rgb="FFE3F2D9"/>
        <bgColor rgb="FFE3F2D9"/>
      </patternFill>
    </fill>
    <fill>
      <patternFill patternType="solid">
        <fgColor rgb="FFFFF4D1"/>
        <bgColor rgb="FFFFF4D1"/>
      </patternFill>
    </fill>
    <fill>
      <patternFill patternType="solid">
        <fgColor theme="4" tint="0.8"/>
        <bgColor indexed="64"/>
      </patternFill>
    </fill>
    <fill>
      <patternFill patternType="solid">
        <fgColor rgb="FFFCE4D3"/>
        <bgColor rgb="FFFCE4D3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" fontId="3" fillId="8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/>
    <xf numFmtId="4" fontId="4" fillId="0" borderId="0" xfId="0" applyNumberFormat="1" applyFont="1" applyFill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/>
    </xf>
    <xf numFmtId="4" fontId="3" fillId="9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65379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230995" y="368300"/>
          <a:ext cx="9525000" cy="65379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342900</xdr:rowOff>
    </xdr:from>
    <xdr:ext cx="9525000" cy="580644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9230995" y="7708900"/>
          <a:ext cx="9525000" cy="58064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838200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38100</xdr:rowOff>
    </xdr:from>
    <xdr:ext cx="9525000" cy="566166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8382000" y="6553200"/>
          <a:ext cx="9525000" cy="56616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50315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2503150" y="7886700"/>
          <a:ext cx="9525000" cy="5715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50315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2503150" y="7886700"/>
          <a:ext cx="9525000" cy="571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1"/>
  <sheetViews>
    <sheetView zoomScale="70" zoomScaleNormal="70" topLeftCell="A17" workbookViewId="0">
      <selection activeCell="B9" sqref="B9"/>
    </sheetView>
  </sheetViews>
  <sheetFormatPr defaultColWidth="9" defaultRowHeight="14" outlineLevelCol="2"/>
  <cols>
    <col min="1" max="1" width="44" customWidth="1"/>
    <col min="2" max="2" width="70.1545454545455" customWidth="1"/>
  </cols>
  <sheetData>
    <row r="1" ht="29" customHeight="1" spans="1:2">
      <c r="A1" s="9" t="s">
        <v>0</v>
      </c>
      <c r="B1" s="25" t="s">
        <v>1</v>
      </c>
    </row>
    <row r="2" ht="29" customHeight="1" spans="1:2">
      <c r="A2" s="10" t="s">
        <v>2</v>
      </c>
      <c r="B2" s="12"/>
    </row>
    <row r="3" ht="29" customHeight="1" spans="1:2">
      <c r="A3" s="3" t="s">
        <v>3</v>
      </c>
      <c r="B3" s="13" t="s">
        <v>4</v>
      </c>
    </row>
    <row r="4" ht="29" customHeight="1" spans="1:2">
      <c r="A4" s="3" t="s">
        <v>5</v>
      </c>
      <c r="B4" s="13">
        <v>85012</v>
      </c>
    </row>
    <row r="5" ht="29" customHeight="1" spans="1:2">
      <c r="A5" s="3" t="s">
        <v>6</v>
      </c>
      <c r="B5" s="13" t="s">
        <v>7</v>
      </c>
    </row>
    <row r="6" ht="29" customHeight="1" spans="1:2">
      <c r="A6" s="3" t="s">
        <v>8</v>
      </c>
      <c r="B6" s="14">
        <v>10095500.03</v>
      </c>
    </row>
    <row r="7" ht="29" customHeight="1" spans="1:2">
      <c r="A7" s="27" t="s">
        <v>9</v>
      </c>
      <c r="B7" s="28">
        <v>0</v>
      </c>
    </row>
    <row r="8" ht="29" customHeight="1" spans="1:2">
      <c r="A8" s="27" t="s">
        <v>10</v>
      </c>
      <c r="B8" s="28">
        <v>0</v>
      </c>
    </row>
    <row r="9" ht="29" customHeight="1" spans="1:2">
      <c r="A9" s="15" t="s">
        <v>11</v>
      </c>
      <c r="B9" s="16">
        <v>-54004.52</v>
      </c>
    </row>
    <row r="10" ht="29" customHeight="1" spans="1:2">
      <c r="A10" s="15" t="s">
        <v>12</v>
      </c>
      <c r="B10" s="16" t="s">
        <v>13</v>
      </c>
    </row>
    <row r="11" ht="29" customHeight="1" spans="1:2">
      <c r="A11" s="15" t="s">
        <v>14</v>
      </c>
      <c r="B11" s="16">
        <v>-54004.52</v>
      </c>
    </row>
    <row r="12" ht="29" customHeight="1" spans="1:2">
      <c r="A12" s="17" t="s">
        <v>15</v>
      </c>
      <c r="B12" s="18" t="s">
        <v>13</v>
      </c>
    </row>
    <row r="13" ht="29" customHeight="1" spans="1:2">
      <c r="A13" s="10" t="s">
        <v>16</v>
      </c>
      <c r="B13" s="12"/>
    </row>
    <row r="14" ht="29" customHeight="1" spans="1:2">
      <c r="A14" s="3" t="s">
        <v>17</v>
      </c>
      <c r="B14" s="14">
        <v>10149504.55</v>
      </c>
    </row>
    <row r="15" ht="29" customHeight="1" spans="1:2">
      <c r="A15" s="3" t="s">
        <v>18</v>
      </c>
      <c r="B15" s="14">
        <v>10095500.03</v>
      </c>
    </row>
    <row r="16" ht="29" customHeight="1" spans="1:2">
      <c r="A16" s="3" t="s">
        <v>19</v>
      </c>
      <c r="B16" s="14">
        <v>10149504.55</v>
      </c>
    </row>
    <row r="17" ht="29" customHeight="1" spans="1:3">
      <c r="A17" s="3" t="s">
        <v>20</v>
      </c>
      <c r="B17" s="14">
        <v>1</v>
      </c>
    </row>
    <row r="18" ht="29" customHeight="1" spans="1:3">
      <c r="A18" s="15" t="s">
        <v>21</v>
      </c>
      <c r="B18" s="22">
        <v>0.99985</v>
      </c>
    </row>
    <row r="19" ht="29" customHeight="1" spans="1:3">
      <c r="A19" s="15" t="s">
        <v>22</v>
      </c>
      <c r="B19" s="22">
        <v>0.99468</v>
      </c>
    </row>
    <row r="20" ht="29" customHeight="1" spans="1:3">
      <c r="A20" s="15" t="s">
        <v>23</v>
      </c>
      <c r="B20" s="22" t="s">
        <v>24</v>
      </c>
    </row>
    <row r="21" ht="29" customHeight="1" spans="1:3">
      <c r="A21" s="17" t="s">
        <v>25</v>
      </c>
      <c r="B21" s="23">
        <v>0.99985</v>
      </c>
    </row>
    <row r="22" ht="29" customHeight="1" spans="1:3">
      <c r="A22" s="17" t="s">
        <v>26</v>
      </c>
      <c r="B22" s="23">
        <v>0.99468</v>
      </c>
    </row>
    <row r="23" ht="29" customHeight="1" spans="1:3">
      <c r="A23" s="17" t="s">
        <v>27</v>
      </c>
      <c r="B23" s="23" t="s">
        <v>24</v>
      </c>
    </row>
    <row r="24" ht="29" customHeight="1" spans="1:3">
      <c r="A24" s="10" t="s">
        <v>28</v>
      </c>
      <c r="B24" s="12"/>
    </row>
    <row r="25" ht="29" customHeight="1" spans="1:3">
      <c r="A25" s="3" t="s">
        <v>29</v>
      </c>
      <c r="B25" s="14">
        <v>476047.85</v>
      </c>
    </row>
    <row r="26" ht="29" customHeight="1" spans="1:3">
      <c r="A26" s="3" t="s">
        <v>30</v>
      </c>
      <c r="B26" s="14">
        <v>10095500.03</v>
      </c>
    </row>
    <row r="27" ht="29" customHeight="1" spans="1:3">
      <c r="A27" s="3" t="s">
        <v>31</v>
      </c>
      <c r="B27" s="14" t="s">
        <v>32</v>
      </c>
    </row>
    <row r="28" ht="29" customHeight="1" spans="1:3">
      <c r="A28" s="10" t="s">
        <v>33</v>
      </c>
      <c r="B28" s="12"/>
    </row>
    <row r="29" ht="125" customHeight="1" spans="1:3">
      <c r="A29" s="3" t="s">
        <v>34</v>
      </c>
      <c r="B29" s="24" t="s">
        <v>35</v>
      </c>
      <c r="C29" s="26"/>
    </row>
    <row r="30" ht="30" customHeight="1" spans="1:3">
      <c r="A30" s="10" t="s">
        <v>36</v>
      </c>
      <c r="B30" s="12"/>
    </row>
    <row r="31" ht="97" customHeight="1" spans="1:3">
      <c r="A31" s="3" t="s">
        <v>37</v>
      </c>
      <c r="B31" s="24" t="s">
        <v>38</v>
      </c>
      <c r="C31" s="26"/>
    </row>
  </sheetData>
  <mergeCells count="5">
    <mergeCell ref="A2:B2"/>
    <mergeCell ref="A13:B13"/>
    <mergeCell ref="A24:B24"/>
    <mergeCell ref="A28:B28"/>
    <mergeCell ref="A30:B30"/>
  </mergeCells>
  <printOptions horizontalCentered="1" verticalCentered="1"/>
  <pageMargins left="0.550694444444444" right="0.550694444444444" top="0.550694444444444" bottom="0.550694444444444" header="0" footer="0"/>
  <pageSetup paperSize="9" scale="4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1"/>
  <sheetViews>
    <sheetView zoomScale="70" zoomScaleNormal="70" topLeftCell="A5" workbookViewId="0">
      <selection activeCell="B16" sqref="B16"/>
    </sheetView>
  </sheetViews>
  <sheetFormatPr defaultColWidth="9" defaultRowHeight="14" outlineLevelCol="2"/>
  <cols>
    <col min="1" max="1" width="44" customWidth="1"/>
    <col min="2" max="2" width="58" customWidth="1"/>
  </cols>
  <sheetData>
    <row r="1" ht="27" customHeight="1" spans="1:2">
      <c r="A1" s="9" t="s">
        <v>0</v>
      </c>
      <c r="B1" s="9" t="s">
        <v>1</v>
      </c>
    </row>
    <row r="2" ht="27" customHeight="1" spans="1:2">
      <c r="A2" s="10" t="s">
        <v>2</v>
      </c>
      <c r="B2" s="12"/>
    </row>
    <row r="3" ht="27" customHeight="1" spans="1:2">
      <c r="A3" s="3" t="s">
        <v>3</v>
      </c>
      <c r="B3" s="13" t="s">
        <v>4</v>
      </c>
    </row>
    <row r="4" ht="27" customHeight="1" spans="1:2">
      <c r="A4" s="3" t="s">
        <v>5</v>
      </c>
      <c r="B4" s="13">
        <v>85012</v>
      </c>
    </row>
    <row r="5" ht="27" customHeight="1" spans="1:2">
      <c r="A5" s="3" t="s">
        <v>6</v>
      </c>
      <c r="B5" s="13" t="s">
        <v>7</v>
      </c>
    </row>
    <row r="6" ht="27" customHeight="1" spans="1:2">
      <c r="A6" s="3" t="s">
        <v>8</v>
      </c>
      <c r="B6" s="14">
        <v>10119394</v>
      </c>
    </row>
    <row r="7" ht="27" customHeight="1" spans="1:2">
      <c r="A7" s="3" t="s">
        <v>9</v>
      </c>
      <c r="B7" s="14">
        <v>0</v>
      </c>
    </row>
    <row r="8" ht="27" customHeight="1" spans="1:2">
      <c r="A8" s="3" t="s">
        <v>10</v>
      </c>
      <c r="B8" s="14">
        <v>0</v>
      </c>
    </row>
    <row r="9" ht="27" customHeight="1" spans="1:2">
      <c r="A9" s="15" t="s">
        <v>11</v>
      </c>
      <c r="B9" s="16">
        <v>-30110.5500000007</v>
      </c>
    </row>
    <row r="10" ht="27" customHeight="1" spans="1:2">
      <c r="A10" s="15" t="s">
        <v>12</v>
      </c>
      <c r="B10" s="22" t="s">
        <v>39</v>
      </c>
    </row>
    <row r="11" ht="27" customHeight="1" spans="1:2">
      <c r="A11" s="17" t="s">
        <v>14</v>
      </c>
      <c r="B11" s="18">
        <v>-30110.5500000007</v>
      </c>
    </row>
    <row r="12" ht="27" customHeight="1" spans="1:2">
      <c r="A12" s="17" t="s">
        <v>15</v>
      </c>
      <c r="B12" s="23" t="s">
        <v>39</v>
      </c>
    </row>
    <row r="13" ht="27" customHeight="1" spans="1:2">
      <c r="A13" s="10" t="s">
        <v>16</v>
      </c>
      <c r="B13" s="12"/>
    </row>
    <row r="14" ht="27" customHeight="1" spans="1:2">
      <c r="A14" s="3" t="s">
        <v>17</v>
      </c>
      <c r="B14" s="14">
        <v>10149504.55</v>
      </c>
    </row>
    <row r="15" ht="27" customHeight="1" spans="1:2">
      <c r="A15" s="3" t="s">
        <v>18</v>
      </c>
      <c r="B15" s="14">
        <v>10119394</v>
      </c>
    </row>
    <row r="16" ht="27" customHeight="1" spans="1:2">
      <c r="A16" s="3" t="s">
        <v>19</v>
      </c>
      <c r="B16" s="14">
        <v>10149504.55</v>
      </c>
    </row>
    <row r="17" ht="27" customHeight="1" spans="1:3">
      <c r="A17" s="3" t="s">
        <v>20</v>
      </c>
      <c r="B17" s="14">
        <v>1</v>
      </c>
    </row>
    <row r="18" ht="27" customHeight="1" spans="1:3">
      <c r="A18" s="15" t="s">
        <v>21</v>
      </c>
      <c r="B18" s="22">
        <v>0.99938</v>
      </c>
    </row>
    <row r="19" ht="27" customHeight="1" spans="1:3">
      <c r="A19" s="15" t="s">
        <v>22</v>
      </c>
      <c r="B19" s="22">
        <v>0.99703</v>
      </c>
    </row>
    <row r="20" ht="27" customHeight="1" spans="1:3">
      <c r="A20" s="15" t="s">
        <v>23</v>
      </c>
      <c r="B20" s="22" t="s">
        <v>40</v>
      </c>
    </row>
    <row r="21" ht="27" customHeight="1" spans="1:3">
      <c r="A21" s="17" t="s">
        <v>25</v>
      </c>
      <c r="B21" s="23">
        <v>0.99938</v>
      </c>
    </row>
    <row r="22" ht="27" customHeight="1" spans="1:3">
      <c r="A22" s="17" t="s">
        <v>26</v>
      </c>
      <c r="B22" s="23">
        <v>0.99703</v>
      </c>
    </row>
    <row r="23" ht="27" customHeight="1" spans="1:3">
      <c r="A23" s="17" t="s">
        <v>27</v>
      </c>
      <c r="B23" s="23" t="s">
        <v>40</v>
      </c>
    </row>
    <row r="24" ht="27" customHeight="1" spans="1:3">
      <c r="A24" s="10" t="s">
        <v>28</v>
      </c>
      <c r="B24" s="12"/>
    </row>
    <row r="25" ht="27" customHeight="1" spans="1:3">
      <c r="A25" s="3" t="s">
        <v>29</v>
      </c>
      <c r="B25" s="14">
        <v>476047.85</v>
      </c>
    </row>
    <row r="26" ht="27" customHeight="1" spans="1:3">
      <c r="A26" s="3" t="s">
        <v>30</v>
      </c>
      <c r="B26" s="14">
        <v>10119394</v>
      </c>
    </row>
    <row r="27" ht="27" customHeight="1" spans="1:3">
      <c r="A27" s="3" t="s">
        <v>31</v>
      </c>
      <c r="B27" s="14" t="s">
        <v>41</v>
      </c>
    </row>
    <row r="28" ht="27" customHeight="1" spans="1:3">
      <c r="A28" s="10" t="s">
        <v>33</v>
      </c>
      <c r="B28" s="12"/>
    </row>
    <row r="29" ht="125" customHeight="1" spans="1:3">
      <c r="A29" s="3" t="s">
        <v>34</v>
      </c>
      <c r="B29" s="24" t="s">
        <v>35</v>
      </c>
      <c r="C29" s="26"/>
    </row>
    <row r="30" ht="27" customHeight="1" spans="1:3">
      <c r="A30" s="10" t="s">
        <v>36</v>
      </c>
      <c r="B30" s="12"/>
    </row>
    <row r="31" ht="60" customHeight="1" spans="1:3">
      <c r="A31" s="3" t="s">
        <v>37</v>
      </c>
      <c r="B31" s="24" t="s">
        <v>38</v>
      </c>
      <c r="C31" s="26"/>
    </row>
  </sheetData>
  <mergeCells count="5">
    <mergeCell ref="A2:B2"/>
    <mergeCell ref="A13:B13"/>
    <mergeCell ref="A24:B24"/>
    <mergeCell ref="A28:B28"/>
    <mergeCell ref="A30:B30"/>
  </mergeCells>
  <printOptions horizontalCentered="1" verticalCentered="1"/>
  <pageMargins left="0.550694444444444" right="0.550694444444444" top="0.550694444444444" bottom="0.550694444444444" header="0" footer="0"/>
  <pageSetup paperSize="9" scale="52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zoomScale="70" zoomScaleNormal="70" topLeftCell="A18" workbookViewId="0">
      <selection activeCell="C30" sqref="C30"/>
    </sheetView>
  </sheetViews>
  <sheetFormatPr defaultColWidth="9" defaultRowHeight="14" outlineLevelCol="2"/>
  <cols>
    <col min="1" max="1" width="54" customWidth="1"/>
    <col min="2" max="3" width="58" customWidth="1"/>
  </cols>
  <sheetData>
    <row r="1" ht="27" customHeight="1" spans="1:3">
      <c r="A1" s="9" t="s">
        <v>0</v>
      </c>
      <c r="B1" s="25" t="s">
        <v>1</v>
      </c>
      <c r="C1" s="9" t="s">
        <v>0</v>
      </c>
    </row>
    <row r="2" ht="27" customHeight="1" spans="1:3">
      <c r="A2" s="10" t="s">
        <v>2</v>
      </c>
      <c r="B2" s="11"/>
      <c r="C2" s="12"/>
    </row>
    <row r="3" ht="27" customHeight="1" spans="1:3">
      <c r="A3" s="3" t="s">
        <v>3</v>
      </c>
      <c r="B3" s="13" t="s">
        <v>42</v>
      </c>
      <c r="C3" s="12"/>
    </row>
    <row r="4" ht="27" customHeight="1" spans="1:3">
      <c r="A4" s="3" t="s">
        <v>5</v>
      </c>
      <c r="B4" s="13">
        <v>85016</v>
      </c>
      <c r="C4" s="12"/>
    </row>
    <row r="5" ht="27" customHeight="1" spans="1:3">
      <c r="A5" s="3" t="s">
        <v>6</v>
      </c>
      <c r="B5" s="13" t="s">
        <v>43</v>
      </c>
      <c r="C5" s="13" t="s">
        <v>44</v>
      </c>
    </row>
    <row r="6" ht="27" customHeight="1" spans="1:3">
      <c r="A6" s="3" t="s">
        <v>45</v>
      </c>
      <c r="B6" s="14">
        <v>4100893.66</v>
      </c>
      <c r="C6" s="14">
        <v>869799.22</v>
      </c>
    </row>
    <row r="7" ht="27" customHeight="1" spans="1:3">
      <c r="A7" s="3" t="s">
        <v>8</v>
      </c>
      <c r="B7" s="14">
        <v>4970692.88</v>
      </c>
      <c r="C7" s="12"/>
    </row>
    <row r="8" ht="27" customHeight="1" spans="1:3">
      <c r="A8" s="3" t="s">
        <v>46</v>
      </c>
      <c r="B8" s="14">
        <v>0</v>
      </c>
      <c r="C8" s="14">
        <v>95.71</v>
      </c>
    </row>
    <row r="9" ht="27" customHeight="1" spans="1:3">
      <c r="A9" s="3" t="s">
        <v>10</v>
      </c>
      <c r="B9" s="14">
        <v>0</v>
      </c>
      <c r="C9" s="13" t="s">
        <v>47</v>
      </c>
    </row>
    <row r="10" ht="27" customHeight="1" spans="1:3">
      <c r="A10" s="15" t="s">
        <v>48</v>
      </c>
      <c r="B10" s="16">
        <v>7368.31</v>
      </c>
      <c r="C10" s="12"/>
    </row>
    <row r="11" ht="27" customHeight="1" spans="1:3">
      <c r="A11" s="15" t="s">
        <v>49</v>
      </c>
      <c r="B11" s="16" t="s">
        <v>50</v>
      </c>
      <c r="C11" s="12"/>
    </row>
    <row r="12" ht="27" customHeight="1" spans="1:3">
      <c r="A12" s="17" t="s">
        <v>51</v>
      </c>
      <c r="B12" s="18">
        <v>7272.6</v>
      </c>
      <c r="C12" s="12"/>
    </row>
    <row r="13" ht="27" customHeight="1" spans="1:3">
      <c r="A13" s="17" t="s">
        <v>52</v>
      </c>
      <c r="B13" s="18" t="s">
        <v>53</v>
      </c>
      <c r="C13" s="12"/>
    </row>
    <row r="14" ht="27" customHeight="1" spans="1:3">
      <c r="A14" s="10" t="s">
        <v>16</v>
      </c>
      <c r="B14" s="11"/>
      <c r="C14" s="12"/>
    </row>
    <row r="15" ht="27" customHeight="1" spans="1:3">
      <c r="A15" s="3" t="s">
        <v>17</v>
      </c>
      <c r="B15" s="14">
        <v>4963324.57</v>
      </c>
      <c r="C15" s="12"/>
    </row>
    <row r="16" ht="27" customHeight="1" spans="1:3">
      <c r="A16" s="3" t="s">
        <v>18</v>
      </c>
      <c r="B16" s="14">
        <v>4970692.88</v>
      </c>
      <c r="C16" s="12"/>
    </row>
    <row r="17" ht="27" customHeight="1" spans="1:3">
      <c r="A17" s="3" t="s">
        <v>19</v>
      </c>
      <c r="B17" s="14">
        <v>4963324.57</v>
      </c>
      <c r="C17" s="12"/>
    </row>
    <row r="18" ht="27" customHeight="1" spans="1:3">
      <c r="A18" s="3" t="s">
        <v>20</v>
      </c>
      <c r="B18" s="14">
        <v>1</v>
      </c>
      <c r="C18" s="12"/>
    </row>
    <row r="19" ht="27" customHeight="1" spans="1:3">
      <c r="A19" s="15" t="s">
        <v>54</v>
      </c>
      <c r="B19" s="22">
        <v>1.00147</v>
      </c>
      <c r="C19" s="12"/>
    </row>
    <row r="20" ht="27" customHeight="1" spans="1:3">
      <c r="A20" s="15" t="s">
        <v>55</v>
      </c>
      <c r="B20" s="22">
        <v>1.00148</v>
      </c>
      <c r="C20" s="12"/>
    </row>
    <row r="21" ht="27" customHeight="1" spans="1:3">
      <c r="A21" s="15" t="s">
        <v>56</v>
      </c>
      <c r="B21" s="22" t="s">
        <v>57</v>
      </c>
      <c r="C21" s="12"/>
    </row>
    <row r="22" ht="27" customHeight="1" spans="1:3">
      <c r="A22" s="17" t="s">
        <v>58</v>
      </c>
      <c r="B22" s="23">
        <v>1.00146</v>
      </c>
      <c r="C22" s="12"/>
    </row>
    <row r="23" ht="27" customHeight="1" spans="1:3">
      <c r="A23" s="17" t="s">
        <v>59</v>
      </c>
      <c r="B23" s="23">
        <v>1.00147</v>
      </c>
      <c r="C23" s="12"/>
    </row>
    <row r="24" ht="27" customHeight="1" spans="1:3">
      <c r="A24" s="17" t="s">
        <v>60</v>
      </c>
      <c r="B24" s="23" t="s">
        <v>61</v>
      </c>
      <c r="C24" s="12"/>
    </row>
    <row r="25" ht="27" customHeight="1" spans="1:3">
      <c r="A25" s="10" t="s">
        <v>28</v>
      </c>
      <c r="B25" s="11"/>
      <c r="C25" s="12"/>
    </row>
    <row r="26" ht="27" customHeight="1" spans="1:3">
      <c r="A26" s="3" t="s">
        <v>29</v>
      </c>
      <c r="B26" s="14">
        <v>0</v>
      </c>
      <c r="C26" s="13" t="s">
        <v>29</v>
      </c>
    </row>
    <row r="27" ht="27" customHeight="1" spans="1:3">
      <c r="A27" s="3" t="s">
        <v>30</v>
      </c>
      <c r="B27" s="14">
        <v>4100893.66</v>
      </c>
      <c r="C27" s="13" t="s">
        <v>30</v>
      </c>
    </row>
    <row r="28" ht="27" customHeight="1" spans="1:3">
      <c r="A28" s="3" t="s">
        <v>31</v>
      </c>
      <c r="B28" s="14" t="s">
        <v>62</v>
      </c>
      <c r="C28" s="13" t="s">
        <v>31</v>
      </c>
    </row>
    <row r="29" ht="27" customHeight="1" spans="1:3">
      <c r="A29" s="10" t="s">
        <v>33</v>
      </c>
      <c r="B29" s="11"/>
      <c r="C29" s="12"/>
    </row>
    <row r="30" ht="225" customHeight="1" spans="1:3">
      <c r="A30" s="3" t="s">
        <v>34</v>
      </c>
      <c r="B30" s="24" t="s">
        <v>63</v>
      </c>
      <c r="C30" s="24" t="s">
        <v>64</v>
      </c>
    </row>
    <row r="31" ht="27" customHeight="1" spans="1:3">
      <c r="A31" s="10" t="s">
        <v>36</v>
      </c>
      <c r="B31" s="11"/>
      <c r="C31" s="12"/>
    </row>
    <row r="32" ht="125" customHeight="1" spans="1:3">
      <c r="A32" s="3" t="s">
        <v>37</v>
      </c>
      <c r="B32" s="24" t="s">
        <v>65</v>
      </c>
      <c r="C32" s="24" t="s">
        <v>66</v>
      </c>
    </row>
  </sheetData>
  <mergeCells count="22">
    <mergeCell ref="A2:C2"/>
    <mergeCell ref="B3:C3"/>
    <mergeCell ref="B4:C4"/>
    <mergeCell ref="B7:C7"/>
    <mergeCell ref="B10:C10"/>
    <mergeCell ref="B11:C11"/>
    <mergeCell ref="B12:C12"/>
    <mergeCell ref="B13:C13"/>
    <mergeCell ref="A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29:C29"/>
    <mergeCell ref="A31:C31"/>
  </mergeCells>
  <printOptions horizontalCentered="1" verticalCentered="1"/>
  <pageMargins left="0.550694444444444" right="0.550694444444444" top="0.550694444444444" bottom="0.550694444444444" header="0" footer="0"/>
  <pageSetup paperSize="9" scale="42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4"/>
  <sheetViews>
    <sheetView tabSelected="1" zoomScale="70" zoomScaleNormal="70" topLeftCell="A19" workbookViewId="0">
      <selection activeCell="B26" sqref="B26:C26"/>
    </sheetView>
  </sheetViews>
  <sheetFormatPr defaultColWidth="9" defaultRowHeight="14" outlineLevelCol="5"/>
  <cols>
    <col min="1" max="1" width="54" customWidth="1"/>
    <col min="2" max="3" width="58" customWidth="1"/>
    <col min="5" max="5" width="18.5727272727273" customWidth="1"/>
    <col min="6" max="6" width="19.3727272727273" customWidth="1"/>
  </cols>
  <sheetData>
    <row r="1" ht="27" customHeight="1" spans="1:3">
      <c r="A1" s="9" t="s">
        <v>0</v>
      </c>
      <c r="B1" s="9" t="s">
        <v>1</v>
      </c>
      <c r="C1" s="9" t="s">
        <v>0</v>
      </c>
    </row>
    <row r="2" ht="27" customHeight="1" spans="1:3">
      <c r="A2" s="10" t="s">
        <v>2</v>
      </c>
      <c r="B2" s="11"/>
      <c r="C2" s="12"/>
    </row>
    <row r="3" ht="27" customHeight="1" spans="1:3">
      <c r="A3" s="3" t="s">
        <v>3</v>
      </c>
      <c r="B3" s="13" t="s">
        <v>42</v>
      </c>
      <c r="C3" s="12"/>
    </row>
    <row r="4" ht="27" customHeight="1" spans="1:3">
      <c r="A4" s="3" t="s">
        <v>5</v>
      </c>
      <c r="B4" s="13">
        <v>85016</v>
      </c>
      <c r="C4" s="12"/>
    </row>
    <row r="5" ht="27" customHeight="1" spans="1:3">
      <c r="A5" s="3" t="s">
        <v>6</v>
      </c>
      <c r="B5" s="13" t="s">
        <v>43</v>
      </c>
      <c r="C5" s="13" t="s">
        <v>44</v>
      </c>
    </row>
    <row r="6" ht="27" customHeight="1" spans="1:3">
      <c r="A6" s="3" t="s">
        <v>45</v>
      </c>
      <c r="B6" s="14">
        <v>4100893.6</v>
      </c>
      <c r="C6" s="14">
        <v>869799.22</v>
      </c>
    </row>
    <row r="7" ht="27" customHeight="1" spans="1:3">
      <c r="A7" s="3" t="s">
        <v>8</v>
      </c>
      <c r="B7" s="14">
        <v>4970692.82</v>
      </c>
      <c r="C7" s="12"/>
    </row>
    <row r="8" ht="27" customHeight="1" spans="1:3">
      <c r="A8" s="3" t="s">
        <v>46</v>
      </c>
      <c r="B8" s="14">
        <v>0</v>
      </c>
      <c r="C8" s="14">
        <v>95.71</v>
      </c>
    </row>
    <row r="9" ht="27" customHeight="1" spans="1:3">
      <c r="A9" s="3" t="s">
        <v>10</v>
      </c>
      <c r="B9" s="14">
        <v>0</v>
      </c>
      <c r="C9" s="13" t="s">
        <v>47</v>
      </c>
    </row>
    <row r="10" ht="27" customHeight="1" spans="1:3">
      <c r="A10" s="15" t="s">
        <v>67</v>
      </c>
      <c r="B10" s="16">
        <f>B6-E19</f>
        <v>768.439999999944</v>
      </c>
      <c r="C10" s="16">
        <f>C6-F19</f>
        <v>6599.83999999997</v>
      </c>
    </row>
    <row r="11" ht="27" customHeight="1" spans="1:3">
      <c r="A11" s="15" t="s">
        <v>48</v>
      </c>
      <c r="B11" s="16">
        <v>7368.25</v>
      </c>
      <c r="C11" s="12"/>
    </row>
    <row r="12" ht="27" customHeight="1" spans="1:3">
      <c r="A12" s="15" t="s">
        <v>49</v>
      </c>
      <c r="B12" s="16" t="s">
        <v>50</v>
      </c>
      <c r="C12" s="12"/>
    </row>
    <row r="13" ht="27" customHeight="1" spans="1:3">
      <c r="A13" s="17" t="s">
        <v>68</v>
      </c>
      <c r="B13" s="18">
        <f>B10-B9-B8</f>
        <v>768.439999999944</v>
      </c>
      <c r="C13" s="18">
        <f>C10-C8</f>
        <v>6504.12999999997</v>
      </c>
    </row>
    <row r="14" ht="27" customHeight="1" spans="1:3">
      <c r="A14" s="17" t="s">
        <v>51</v>
      </c>
      <c r="B14" s="18">
        <v>7272.54</v>
      </c>
      <c r="C14" s="12"/>
    </row>
    <row r="15" ht="27" customHeight="1" spans="1:3">
      <c r="A15" s="17" t="s">
        <v>52</v>
      </c>
      <c r="B15" s="19">
        <f>B14/B17</f>
        <v>0.0014652557771373</v>
      </c>
      <c r="C15" s="20"/>
    </row>
    <row r="16" ht="27" customHeight="1" spans="1:3">
      <c r="A16" s="10" t="s">
        <v>16</v>
      </c>
      <c r="B16" s="11"/>
      <c r="C16" s="12"/>
    </row>
    <row r="17" ht="27" customHeight="1" spans="1:6">
      <c r="A17" s="3" t="s">
        <v>17</v>
      </c>
      <c r="B17" s="14">
        <v>4963324.57</v>
      </c>
      <c r="C17" s="12"/>
    </row>
    <row r="18" ht="27" customHeight="1" spans="1:6">
      <c r="A18" s="3" t="s">
        <v>18</v>
      </c>
      <c r="B18" s="14">
        <v>4970692.82</v>
      </c>
      <c r="C18" s="12"/>
    </row>
    <row r="19" ht="27" customHeight="1" spans="1:6">
      <c r="A19" s="3" t="s">
        <v>19</v>
      </c>
      <c r="B19" s="14">
        <v>4963324.57</v>
      </c>
      <c r="C19" s="12"/>
      <c r="E19" s="21">
        <v>4100125.16</v>
      </c>
      <c r="F19" s="21">
        <v>863199.38</v>
      </c>
    </row>
    <row r="20" ht="27" customHeight="1" spans="1:6">
      <c r="A20" s="3" t="s">
        <v>20</v>
      </c>
      <c r="B20" s="14">
        <v>1</v>
      </c>
      <c r="C20" s="12"/>
    </row>
    <row r="21" ht="27" customHeight="1" spans="1:6">
      <c r="A21" s="15" t="s">
        <v>54</v>
      </c>
      <c r="B21" s="22">
        <v>1.00147</v>
      </c>
      <c r="C21" s="12"/>
    </row>
    <row r="22" ht="27" customHeight="1" spans="1:6">
      <c r="A22" s="15" t="s">
        <v>55</v>
      </c>
      <c r="B22" s="22">
        <v>1.00148</v>
      </c>
      <c r="C22" s="12"/>
    </row>
    <row r="23" ht="27" customHeight="1" spans="1:6">
      <c r="A23" s="15" t="s">
        <v>56</v>
      </c>
      <c r="B23" s="22" t="s">
        <v>57</v>
      </c>
      <c r="C23" s="12"/>
    </row>
    <row r="24" ht="27" customHeight="1" spans="1:6">
      <c r="A24" s="17" t="s">
        <v>58</v>
      </c>
      <c r="B24" s="23">
        <v>1.00146</v>
      </c>
      <c r="C24" s="12"/>
    </row>
    <row r="25" ht="27" customHeight="1" spans="1:6">
      <c r="A25" s="17" t="s">
        <v>59</v>
      </c>
      <c r="B25" s="23">
        <v>1.00147</v>
      </c>
      <c r="C25" s="12"/>
    </row>
    <row r="26" ht="27" customHeight="1" spans="1:6">
      <c r="A26" s="17" t="s">
        <v>60</v>
      </c>
      <c r="B26" s="23" t="s">
        <v>69</v>
      </c>
      <c r="C26" s="12"/>
    </row>
    <row r="27" ht="27" customHeight="1" spans="1:6">
      <c r="A27" s="10" t="s">
        <v>28</v>
      </c>
      <c r="B27" s="11"/>
      <c r="C27" s="12"/>
    </row>
    <row r="28" ht="27" customHeight="1" spans="1:6">
      <c r="A28" s="3" t="s">
        <v>29</v>
      </c>
      <c r="B28" s="14">
        <v>0</v>
      </c>
      <c r="C28" s="13" t="s">
        <v>47</v>
      </c>
    </row>
    <row r="29" ht="27" customHeight="1" spans="1:6">
      <c r="A29" s="3" t="s">
        <v>30</v>
      </c>
      <c r="B29" s="14">
        <v>4100893.6</v>
      </c>
      <c r="C29" s="13" t="s">
        <v>47</v>
      </c>
    </row>
    <row r="30" ht="27" customHeight="1" spans="1:6">
      <c r="A30" s="3" t="s">
        <v>31</v>
      </c>
      <c r="B30" s="14" t="s">
        <v>62</v>
      </c>
      <c r="C30" s="13" t="s">
        <v>47</v>
      </c>
    </row>
    <row r="31" ht="27" customHeight="1" spans="1:6">
      <c r="A31" s="10" t="s">
        <v>33</v>
      </c>
      <c r="B31" s="11"/>
      <c r="C31" s="12"/>
    </row>
    <row r="32" ht="225" customHeight="1" spans="1:6">
      <c r="A32" s="3" t="s">
        <v>34</v>
      </c>
      <c r="B32" s="24" t="s">
        <v>63</v>
      </c>
      <c r="C32" s="24" t="s">
        <v>64</v>
      </c>
    </row>
    <row r="33" ht="27" customHeight="1" spans="1:3">
      <c r="A33" s="10" t="s">
        <v>36</v>
      </c>
      <c r="B33" s="11"/>
      <c r="C33" s="12"/>
    </row>
    <row r="34" ht="125" customHeight="1" spans="1:3">
      <c r="A34" s="3" t="s">
        <v>37</v>
      </c>
      <c r="B34" s="24" t="s">
        <v>65</v>
      </c>
      <c r="C34" s="24" t="s">
        <v>66</v>
      </c>
    </row>
  </sheetData>
  <mergeCells count="22">
    <mergeCell ref="A2:C2"/>
    <mergeCell ref="B3:C3"/>
    <mergeCell ref="B4:C4"/>
    <mergeCell ref="B7:C7"/>
    <mergeCell ref="B11:C11"/>
    <mergeCell ref="B12:C12"/>
    <mergeCell ref="B14:C14"/>
    <mergeCell ref="B15:C15"/>
    <mergeCell ref="A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31:C31"/>
    <mergeCell ref="A33:C33"/>
  </mergeCells>
  <printOptions horizontalCentered="1" verticalCentered="1"/>
  <pageMargins left="0.550694444444444" right="0.550694444444444" top="0.550694444444444" bottom="0.550694444444444" header="0" footer="0"/>
  <pageSetup paperSize="9" scale="43" orientation="landscape" horizont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8"/>
  <sheetViews>
    <sheetView workbookViewId="0">
      <selection activeCell="G12" sqref="G12"/>
    </sheetView>
  </sheetViews>
  <sheetFormatPr defaultColWidth="9" defaultRowHeight="14" outlineLevelCol="3"/>
  <cols>
    <col min="1" max="1" width="15" customWidth="1"/>
    <col min="2" max="4" width="20" customWidth="1"/>
  </cols>
  <sheetData>
    <row r="1" ht="24" customHeight="1" spans="1:4">
      <c r="A1" s="1" t="s">
        <v>70</v>
      </c>
      <c r="B1" s="2"/>
      <c r="C1" s="2"/>
      <c r="D1" s="2"/>
    </row>
    <row r="2" ht="24" customHeight="1" spans="1:4">
      <c r="A2" s="2" t="s">
        <v>0</v>
      </c>
      <c r="B2" s="2" t="s">
        <v>71</v>
      </c>
      <c r="C2" s="2"/>
      <c r="D2" s="2" t="s">
        <v>72</v>
      </c>
    </row>
    <row r="3" ht="24" customHeight="1" spans="1:4">
      <c r="A3" s="7" t="s">
        <v>73</v>
      </c>
      <c r="B3" s="7" t="s">
        <v>74</v>
      </c>
      <c r="C3" s="7" t="s">
        <v>75</v>
      </c>
      <c r="D3" s="7" t="s">
        <v>76</v>
      </c>
    </row>
    <row r="4" ht="24" customHeight="1" spans="1:4">
      <c r="A4" s="7" t="s">
        <v>77</v>
      </c>
      <c r="B4" s="4">
        <v>51.59</v>
      </c>
      <c r="C4" s="5">
        <v>71.25</v>
      </c>
      <c r="D4" s="6">
        <v>-19.67</v>
      </c>
    </row>
    <row r="5" ht="24" customHeight="1" spans="1:4">
      <c r="A5" s="7" t="s">
        <v>78</v>
      </c>
      <c r="B5" s="4">
        <v>24.95</v>
      </c>
      <c r="C5" s="5">
        <v>20.53</v>
      </c>
      <c r="D5" s="6">
        <v>4.42</v>
      </c>
    </row>
    <row r="6" ht="24" customHeight="1" spans="1:4">
      <c r="A6" s="7" t="s">
        <v>79</v>
      </c>
      <c r="B6" s="4">
        <v>137.41</v>
      </c>
      <c r="C6" s="5">
        <v>14.18</v>
      </c>
      <c r="D6" s="6">
        <v>123.23</v>
      </c>
    </row>
    <row r="7" ht="24" customHeight="1" spans="1:4">
      <c r="A7" s="7" t="s">
        <v>80</v>
      </c>
      <c r="B7" s="4">
        <v>292.45</v>
      </c>
      <c r="C7" s="5">
        <v>13.63</v>
      </c>
      <c r="D7" s="6">
        <v>278.82</v>
      </c>
    </row>
    <row r="8" ht="24" customHeight="1" spans="1:4">
      <c r="A8" s="7" t="s">
        <v>81</v>
      </c>
      <c r="B8" s="4">
        <v>0</v>
      </c>
      <c r="C8" s="5">
        <v>0</v>
      </c>
      <c r="D8" s="6">
        <v>0</v>
      </c>
    </row>
    <row r="9" ht="24" customHeight="1" spans="1:4">
      <c r="A9" s="7" t="s">
        <v>82</v>
      </c>
      <c r="B9" s="4">
        <v>0</v>
      </c>
      <c r="C9" s="5">
        <v>0</v>
      </c>
      <c r="D9" s="6">
        <v>0</v>
      </c>
    </row>
    <row r="10" ht="24" customHeight="1" spans="1:4">
      <c r="A10" s="7" t="s">
        <v>83</v>
      </c>
      <c r="B10" s="4">
        <v>5.61</v>
      </c>
      <c r="C10" s="5">
        <v>0</v>
      </c>
      <c r="D10" s="6">
        <v>5.61</v>
      </c>
    </row>
    <row r="11" ht="24" customHeight="1" spans="1:4">
      <c r="A11" s="7" t="s">
        <v>84</v>
      </c>
      <c r="B11" s="4">
        <v>512.01</v>
      </c>
      <c r="C11" s="5">
        <v>119.59</v>
      </c>
      <c r="D11" s="6">
        <v>392.42</v>
      </c>
    </row>
    <row r="12" ht="24" customHeight="1" spans="1:4">
      <c r="A12" s="8" t="s">
        <v>85</v>
      </c>
      <c r="B12" s="2"/>
      <c r="C12" s="2"/>
      <c r="D12" s="2"/>
    </row>
    <row r="13" ht="24" customHeight="1" spans="1:4">
      <c r="A13" s="8" t="s">
        <v>86</v>
      </c>
      <c r="B13" s="2" t="s">
        <v>32</v>
      </c>
      <c r="C13" s="2"/>
      <c r="D13" s="2"/>
    </row>
    <row r="14" ht="24" customHeight="1" spans="1:4">
      <c r="A14" s="8" t="s">
        <v>87</v>
      </c>
      <c r="B14" s="2">
        <v>1009.55</v>
      </c>
      <c r="C14" s="2"/>
      <c r="D14" s="2"/>
    </row>
    <row r="15" ht="24" customHeight="1" spans="1:4">
      <c r="A15" s="8" t="s">
        <v>88</v>
      </c>
      <c r="B15" s="2">
        <v>-2.18</v>
      </c>
      <c r="C15" s="2"/>
      <c r="D15" s="2"/>
    </row>
    <row r="16" ht="24" customHeight="1" spans="1:4">
      <c r="A16" s="8" t="s">
        <v>89</v>
      </c>
      <c r="B16" s="2">
        <v>631.6</v>
      </c>
      <c r="C16" s="2"/>
      <c r="D16" s="2"/>
    </row>
    <row r="17" ht="24" customHeight="1" spans="1:4">
      <c r="A17" s="8" t="s">
        <v>90</v>
      </c>
      <c r="B17" s="2">
        <v>631.6</v>
      </c>
      <c r="C17" s="2"/>
      <c r="D17" s="2"/>
    </row>
    <row r="18" ht="24" customHeight="1" spans="1:4">
      <c r="A18" s="8" t="s">
        <v>91</v>
      </c>
      <c r="B18" s="2">
        <v>-5.45</v>
      </c>
      <c r="C18" s="2"/>
      <c r="D18" s="2"/>
    </row>
  </sheetData>
  <mergeCells count="1">
    <mergeCell ref="A1:D1"/>
  </mergeCells>
  <printOptions horizontalCentered="1" verticalCentered="1"/>
  <pageMargins left="0.550694444444444" right="0.550694444444444" top="0.550694444444444" bottom="0.550694444444444" header="0" footer="0"/>
  <pageSetup paperSize="9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:D1"/>
    </sheetView>
  </sheetViews>
  <sheetFormatPr defaultColWidth="9" defaultRowHeight="14" outlineLevelCol="4"/>
  <cols>
    <col min="1" max="1" width="15" customWidth="1"/>
    <col min="2" max="4" width="20" customWidth="1"/>
    <col min="5" max="5" width="60" customWidth="1"/>
  </cols>
  <sheetData>
    <row r="1" ht="17.5" spans="1:5">
      <c r="A1" s="1" t="s">
        <v>70</v>
      </c>
    </row>
    <row r="2" spans="1:5">
      <c r="A2" s="2" t="s">
        <v>0</v>
      </c>
      <c r="B2" s="2" t="s">
        <v>71</v>
      </c>
      <c r="C2" s="2"/>
      <c r="D2" s="2" t="s">
        <v>72</v>
      </c>
    </row>
    <row r="3" ht="17.5" spans="1:5">
      <c r="A3" s="3" t="s">
        <v>73</v>
      </c>
      <c r="B3" s="3" t="s">
        <v>74</v>
      </c>
      <c r="C3" s="3" t="s">
        <v>75</v>
      </c>
      <c r="D3" s="3" t="s">
        <v>76</v>
      </c>
    </row>
    <row r="4" ht="17.5" spans="1:5">
      <c r="A4" s="3" t="s">
        <v>77</v>
      </c>
      <c r="B4" s="4">
        <v>51.59</v>
      </c>
      <c r="C4" s="5">
        <v>71.25</v>
      </c>
      <c r="D4" s="6">
        <v>-19.67</v>
      </c>
      <c r="E4" t="s">
        <v>92</v>
      </c>
    </row>
    <row r="5" ht="17.5" spans="1:5">
      <c r="A5" s="3" t="s">
        <v>78</v>
      </c>
      <c r="B5" s="4">
        <v>24.95</v>
      </c>
      <c r="C5" s="5">
        <v>20.53</v>
      </c>
      <c r="D5" s="6">
        <v>4.42</v>
      </c>
      <c r="E5" t="s">
        <v>93</v>
      </c>
    </row>
    <row r="6" ht="17.5" spans="1:5">
      <c r="A6" s="3" t="s">
        <v>79</v>
      </c>
      <c r="B6" s="4">
        <v>137.41</v>
      </c>
      <c r="C6" s="5">
        <v>14.18</v>
      </c>
      <c r="D6" s="6">
        <v>123.23</v>
      </c>
      <c r="E6" t="s">
        <v>94</v>
      </c>
    </row>
    <row r="7" ht="17.5" spans="1:5">
      <c r="A7" s="3" t="s">
        <v>80</v>
      </c>
      <c r="B7" s="4">
        <v>292.45</v>
      </c>
      <c r="C7" s="5">
        <v>13.63</v>
      </c>
      <c r="D7" s="6">
        <v>278.82</v>
      </c>
      <c r="E7" t="s">
        <v>95</v>
      </c>
    </row>
    <row r="8" ht="17.5" spans="1:5">
      <c r="A8" s="3" t="s">
        <v>81</v>
      </c>
      <c r="B8" s="4">
        <v>0</v>
      </c>
      <c r="C8" s="5">
        <v>0</v>
      </c>
      <c r="D8" s="6">
        <v>0</v>
      </c>
      <c r="E8" t="s">
        <v>96</v>
      </c>
    </row>
    <row r="9" ht="17.5" spans="1:5">
      <c r="A9" s="3" t="s">
        <v>82</v>
      </c>
      <c r="B9" s="4">
        <v>0</v>
      </c>
      <c r="C9" s="5">
        <v>0</v>
      </c>
      <c r="D9" s="6">
        <v>0</v>
      </c>
      <c r="E9" t="s">
        <v>96</v>
      </c>
    </row>
    <row r="10" ht="17.5" spans="1:5">
      <c r="A10" s="3" t="s">
        <v>83</v>
      </c>
      <c r="B10" s="4">
        <v>5.61</v>
      </c>
      <c r="C10" s="5">
        <v>0</v>
      </c>
      <c r="D10" s="6">
        <v>5.61</v>
      </c>
      <c r="E10" t="s">
        <v>97</v>
      </c>
    </row>
    <row r="11" ht="17.5" spans="1:5">
      <c r="A11" s="3" t="s">
        <v>84</v>
      </c>
      <c r="B11" s="4">
        <v>512.01</v>
      </c>
      <c r="C11" s="5">
        <v>119.59</v>
      </c>
      <c r="D11" s="6">
        <v>392.42</v>
      </c>
    </row>
    <row r="12" spans="1:5">
      <c r="A12" s="2" t="s">
        <v>85</v>
      </c>
      <c r="B12" s="2"/>
      <c r="C12" s="2"/>
      <c r="D12" s="2"/>
    </row>
    <row r="13" spans="1:5">
      <c r="A13" s="2" t="s">
        <v>86</v>
      </c>
      <c r="B13" s="2" t="s">
        <v>32</v>
      </c>
      <c r="C13" s="2"/>
      <c r="D13" s="2"/>
    </row>
    <row r="14" spans="1:5">
      <c r="A14" s="2" t="s">
        <v>87</v>
      </c>
      <c r="B14" s="2">
        <v>1009.55</v>
      </c>
      <c r="C14" s="2"/>
      <c r="D14" s="2"/>
    </row>
    <row r="15" spans="1:5">
      <c r="A15" s="2" t="s">
        <v>88</v>
      </c>
      <c r="B15" s="2">
        <v>-2.18</v>
      </c>
      <c r="C15" s="2"/>
      <c r="D15" s="2"/>
    </row>
    <row r="16" spans="1:5">
      <c r="A16" s="2" t="s">
        <v>89</v>
      </c>
      <c r="B16" s="2">
        <v>631.6</v>
      </c>
      <c r="C16" s="2"/>
      <c r="D16" s="2"/>
    </row>
    <row r="17" spans="1:5">
      <c r="A17" s="2" t="s">
        <v>90</v>
      </c>
      <c r="B17" s="2">
        <v>631.6</v>
      </c>
      <c r="C17" s="2"/>
      <c r="D17" s="2"/>
      <c r="E17" t="s">
        <v>96</v>
      </c>
    </row>
    <row r="18" spans="1:5">
      <c r="A18" s="2" t="s">
        <v>91</v>
      </c>
      <c r="B18" s="2">
        <v>-5.45</v>
      </c>
      <c r="C18" s="2"/>
      <c r="D18" s="2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量化二-结算数据</vt:lpstr>
      <vt:lpstr>量化二-收盘数据</vt:lpstr>
      <vt:lpstr>量化三-结算数据</vt:lpstr>
      <vt:lpstr>量化三-收盘数据</vt:lpstr>
      <vt:lpstr>量化二持仓信息</vt:lpstr>
      <vt:lpstr>量化二持仓信息--详细统计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李晟泽</cp:lastModifiedBy>
  <dcterms:created xsi:type="dcterms:W3CDTF">2026-01-07T08:54:00Z</dcterms:created>
  <dcterms:modified xsi:type="dcterms:W3CDTF">2026-01-07T14:05:38Z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1537D363E3524A2A86C6FF5E5FCD5B47_12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