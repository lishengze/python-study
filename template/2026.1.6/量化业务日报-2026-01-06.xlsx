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量化二-结算数据" sheetId="1" r:id="rId1"/>
    <sheet name="量化二-收盘数据" sheetId="2" r:id="rId2"/>
    <sheet name="量化三-结算数据" sheetId="3" r:id="rId3"/>
    <sheet name="量化三-收盘数据" sheetId="4" r:id="rId4"/>
    <sheet name="量化二持仓信息" sheetId="5" r:id="rId5"/>
    <sheet name="量化二持仓信息--详细统计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<sst xmlns="http://schemas.openxmlformats.org/spreadsheetml/2006/main" count="238" uniqueCount="96">
  <si>
    <t>统计日期</t>
  </si>
  <si>
    <t>2026-01-06, (金额单位：元)</t>
  </si>
  <si>
    <t>一、账户资产及收益情况</t>
  </si>
  <si>
    <t>账户名称</t>
  </si>
  <si>
    <t>量化二</t>
  </si>
  <si>
    <t>账户编号</t>
  </si>
  <si>
    <t>资产单元名称</t>
  </si>
  <si>
    <t>量化二-投机单元</t>
  </si>
  <si>
    <t>账户资产净值</t>
  </si>
  <si>
    <t>返息</t>
  </si>
  <si>
    <t>手续费</t>
  </si>
  <si>
    <t>总盈利/亏损(含返息、手续费)</t>
  </si>
  <si>
    <t>收益率(含返息、手续费)</t>
  </si>
  <si>
    <t>-0.0146%</t>
  </si>
  <si>
    <t>总盈利/亏损(不含返息、手续费)</t>
  </si>
  <si>
    <t>收益率(不含返息、手续费)</t>
  </si>
  <si>
    <t>二、净值列示</t>
  </si>
  <si>
    <t>实收资本</t>
  </si>
  <si>
    <t>资产净值</t>
  </si>
  <si>
    <t>总份额</t>
  </si>
  <si>
    <t>期初单位净值</t>
  </si>
  <si>
    <t>昨日单位净值(含返息、手续费)</t>
  </si>
  <si>
    <t>单位净值(含返息、手续费)</t>
  </si>
  <si>
    <t>日净值增长率(含返息、手续费)</t>
  </si>
  <si>
    <t>-0.00964%</t>
  </si>
  <si>
    <t>昨日单位净值(不含返息、手续费)</t>
  </si>
  <si>
    <t>单位净值(不含返息、手续费)</t>
  </si>
  <si>
    <t>日净值增长率(不含返息、手续费)</t>
  </si>
  <si>
    <t>三、保证金使用情况</t>
  </si>
  <si>
    <t>占用</t>
  </si>
  <si>
    <t>账户权益</t>
  </si>
  <si>
    <t>风险度</t>
  </si>
  <si>
    <t>4.6342%</t>
  </si>
  <si>
    <t>四、交易情况</t>
  </si>
  <si>
    <t>交易方向及数量</t>
  </si>
  <si>
    <t>今日交易 32 只期货合约 成交合约价值 545.86 万元
卖出开仓: 14 只
买入平仓: 5 只
买入开仓: 18 只
卖出平仓: 1 只</t>
  </si>
  <si>
    <t>五、持仓情况</t>
  </si>
  <si>
    <t>持仓品种及数量</t>
  </si>
  <si>
    <t>共持仓 32只期货， 持仓合约价值 581.29 万元, 
其中多仓: 18 只,空仓: 14 只</t>
  </si>
  <si>
    <t>-0.062%</t>
  </si>
  <si>
    <t>-0.09101%</t>
  </si>
  <si>
    <t>4.6046%</t>
  </si>
  <si>
    <t>量化三</t>
  </si>
  <si>
    <t>量化三投机</t>
  </si>
  <si>
    <t>量化三股票单元</t>
  </si>
  <si>
    <t>单元资产净值</t>
  </si>
  <si>
    <t>返息、逆回购</t>
  </si>
  <si>
    <t>-</t>
  </si>
  <si>
    <t>总盈利/亏损(含返息、逆回购、手续费)</t>
  </si>
  <si>
    <t>收益率(含返息、逆回购、手续费)</t>
  </si>
  <si>
    <t>0.1474%</t>
  </si>
  <si>
    <t>总盈利/亏损(不含返息、逆回购、手续费)</t>
  </si>
  <si>
    <t>收益率(不含返息、逆回购、手续费)</t>
  </si>
  <si>
    <t>0.1462%</t>
  </si>
  <si>
    <t>昨日单位净值(含返息、逆回购、手续费)</t>
  </si>
  <si>
    <t>单位净值(含返息、逆回购、手续费)</t>
  </si>
  <si>
    <t>日净值增长率(含返息、逆回购、手续费)</t>
  </si>
  <si>
    <t>0.03538%</t>
  </si>
  <si>
    <t>昨日单位净值(不含返息、逆回购、手续费)</t>
  </si>
  <si>
    <t>单位净值(不含返息、逆回购、手续费)</t>
  </si>
  <si>
    <t>日净值增长率(不含返息、逆回购、手续费)</t>
  </si>
  <si>
    <t>0.03511%</t>
  </si>
  <si>
    <t>0.0%</t>
  </si>
  <si>
    <t>今日交易 2 只期货, 成交合约价值 423.02 万元,其中
1.国债期货:
买入开仓: 1只 (TL2603)
卖出平仓: 1只 (TL2603)
2.黄金期货:
买入开仓: 1只 (au2602)
卖出平仓: 1只 (au2602)
3.铜期货:无
4.其他品种:无</t>
  </si>
  <si>
    <t>买入股票: 2 只, 卖出股票: 1 只, 股票合计成交金额: 58557.0 元</t>
  </si>
  <si>
    <t xml:space="preserve">共持仓: 0 只期货, 持仓合约价值 0.0 万元, 其中: 
国债期货 0只 
黄金期货 0只 
铜期货 0只 
其他品种 0只 </t>
  </si>
  <si>
    <t>股票: 4 只</t>
  </si>
  <si>
    <t>盈利/亏损(含返息、逆回购、手续费)</t>
  </si>
  <si>
    <t>盈利/亏损(不含返息、逆回购、手续费)</t>
  </si>
  <si>
    <t>量化二持仓信息</t>
  </si>
  <si>
    <t>2026-01-06</t>
  </si>
  <si>
    <t>单位：万元</t>
  </si>
  <si>
    <t>行业</t>
  </si>
  <si>
    <t>多头市值</t>
  </si>
  <si>
    <t>空头市值</t>
  </si>
  <si>
    <t>净市值</t>
  </si>
  <si>
    <t>农副</t>
  </si>
  <si>
    <t>有色</t>
  </si>
  <si>
    <t>能化</t>
  </si>
  <si>
    <t>黑色</t>
  </si>
  <si>
    <t>贵金属</t>
  </si>
  <si>
    <t>股指期货</t>
  </si>
  <si>
    <t>其他</t>
  </si>
  <si>
    <t>合计</t>
  </si>
  <si>
    <t>汇总</t>
  </si>
  <si>
    <t>风险度：</t>
  </si>
  <si>
    <t>权益：</t>
  </si>
  <si>
    <t>当日盈亏：</t>
  </si>
  <si>
    <t>总市值：</t>
  </si>
  <si>
    <t>去锁市值：</t>
  </si>
  <si>
    <t>平仓盈亏：</t>
  </si>
  <si>
    <t>苹果2605, 棉花2605, 白糖2605, 玉米2603, 玉米淀粉2603, 鲜鸡蛋2603, 生猪2603, 豆粕2605, 棕榈油2605</t>
  </si>
  <si>
    <t>氧化铝2605, 铅2602, 不锈钢2602</t>
  </si>
  <si>
    <t>玻璃2605, 甲醇N2605, 纯碱2605, PTA2605, 尿素2605, 石油沥青2603, 苯乙烯2602, 乙二醇2605, 聚乙烯2605, 低硫燃料油2603, 聚丙烯2605, 天然橡胶2605, 聚氯乙烯2605</t>
  </si>
  <si>
    <t>硅铁2603, 锰硅2603, 热轧卷板2605, 铁矿石2605, 焦炭2605, 焦煤2605, 螺纹钢2605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</si>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</sst>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%"/>
    <numFmt numFmtId="177" formatCode="0.00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ADADE"/>
        <bgColor rgb="FFFADADE"/>
      </patternFill>
    </fill>
    <fill>
      <patternFill patternType="solid">
        <fgColor rgb="FFE3F2D9"/>
        <bgColor rgb="FFE3F2D9"/>
      </patternFill>
    </fill>
    <fill>
      <patternFill patternType="solid">
        <fgColor rgb="FFFFF4D1"/>
        <bgColor rgb="FFFFF4D1"/>
      </patternFill>
    </fill>
    <fill>
      <patternFill patternType="solid">
        <fgColor theme="4" tint="0.8"/>
        <bgColor indexed="64"/>
      </patternFill>
    </fill>
    <fill>
      <patternFill patternType="solid">
        <fgColor rgb="FFFCE4D3"/>
        <bgColor rgb="FFFCE4D3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" fontId="3" fillId="7" borderId="1" xfId="0" applyNumberFormat="1" applyFont="1" applyFill="1" applyBorder="1" applyAlignment="1">
      <alignment horizontal="center" vertical="center"/>
    </xf>
    <xf numFmtId="176" fontId="3" fillId="7" borderId="1" xfId="0" applyNumberFormat="1" applyFont="1" applyFill="1" applyBorder="1" applyAlignment="1">
      <alignment horizontal="center" vertical="center"/>
    </xf>
    <xf numFmtId="176" fontId="0" fillId="0" borderId="3" xfId="0" applyNumberFormat="1" applyFont="1" applyFill="1" applyBorder="1" applyAlignment="1"/>
    <xf numFmtId="0" fontId="1" fillId="8" borderId="1" xfId="0" applyFont="1" applyFill="1" applyBorder="1" applyAlignment="1">
      <alignment horizontal="center" vertical="center"/>
    </xf>
    <xf numFmtId="4" fontId="3" fillId="8" borderId="1" xfId="0" applyNumberFormat="1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 vertical="center"/>
    </xf>
    <xf numFmtId="4" fontId="4" fillId="0" borderId="0" xfId="0" applyNumberFormat="1" applyFont="1" applyFill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4" fontId="3" fillId="0" borderId="0" xfId="0" applyNumberFormat="1" applyFont="1" applyAlignment="1">
      <alignment horizontal="center" vertical="center"/>
    </xf>
    <xf numFmtId="177" fontId="0" fillId="0" borderId="0" xfId="0" applyNumberFormat="1"/>
    <xf numFmtId="4" fontId="3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653796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9436100" y="393700"/>
          <a:ext cx="9525000" cy="65379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228600</xdr:rowOff>
    </xdr:from>
    <xdr:ext cx="9525000" cy="580644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9436100" y="8102600"/>
          <a:ext cx="9525000" cy="58064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5715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9228455" y="342900"/>
          <a:ext cx="9525000" cy="5715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228600</xdr:rowOff>
    </xdr:from>
    <xdr:ext cx="9525000" cy="566166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9228455" y="6743700"/>
          <a:ext cx="9525000" cy="56616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5715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2544425" y="342900"/>
          <a:ext cx="9525000" cy="5715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9525000" cy="5715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12544425" y="7886700"/>
          <a:ext cx="9525000" cy="57150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5715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2275820" y="342900"/>
          <a:ext cx="9525000" cy="5715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9525000" cy="5715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12275820" y="7886700"/>
          <a:ext cx="9525000" cy="571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1"/>
  <sheetViews>
    <sheetView tabSelected="1" zoomScale="70" zoomScaleNormal="70" workbookViewId="0">
      <selection activeCell="B26" sqref="B26"/>
    </sheetView>
  </sheetViews>
  <sheetFormatPr defaultColWidth="9" defaultRowHeight="14.4" outlineLevelCol="2"/>
  <cols>
    <col min="1" max="1" width="44" customWidth="1"/>
    <col min="2" max="2" width="70.787037037037" customWidth="1"/>
    <col min="3" max="3" width="13.8055555555556" customWidth="1"/>
  </cols>
  <sheetData>
    <row r="1" ht="31" customHeight="1" spans="1:3">
      <c r="A1" s="9" t="s">
        <v>0</v>
      </c>
      <c r="B1" s="26" t="s">
        <v>1</v>
      </c>
    </row>
    <row r="2" ht="31" customHeight="1" spans="1:3">
      <c r="A2" s="10" t="s">
        <v>2</v>
      </c>
      <c r="B2" s="12"/>
    </row>
    <row r="3" ht="31" customHeight="1" spans="1:3">
      <c r="A3" s="3" t="s">
        <v>3</v>
      </c>
      <c r="B3" s="13" t="s">
        <v>4</v>
      </c>
    </row>
    <row r="4" ht="31" customHeight="1" spans="1:3">
      <c r="A4" s="3" t="s">
        <v>5</v>
      </c>
      <c r="B4" s="13">
        <v>85012</v>
      </c>
    </row>
    <row r="5" ht="31" customHeight="1" spans="1:3">
      <c r="A5" s="3" t="s">
        <v>6</v>
      </c>
      <c r="B5" s="13" t="s">
        <v>7</v>
      </c>
    </row>
    <row r="6" ht="31" customHeight="1" spans="1:3">
      <c r="A6" s="3" t="s">
        <v>8</v>
      </c>
      <c r="B6" s="14">
        <v>10148018.43</v>
      </c>
    </row>
    <row r="7" ht="31" customHeight="1" spans="1:3">
      <c r="A7" s="3" t="s">
        <v>9</v>
      </c>
      <c r="B7" s="14">
        <v>0</v>
      </c>
    </row>
    <row r="8" ht="31" customHeight="1" spans="1:3">
      <c r="A8" s="3" t="s">
        <v>10</v>
      </c>
      <c r="B8" s="14">
        <v>0</v>
      </c>
    </row>
    <row r="9" ht="31" customHeight="1" spans="1:3">
      <c r="A9" s="15" t="s">
        <v>11</v>
      </c>
      <c r="B9" s="16">
        <v>-1486.12</v>
      </c>
      <c r="C9">
        <f>B6-B14</f>
        <v>-1486.12000000104</v>
      </c>
    </row>
    <row r="10" ht="31" customHeight="1" spans="1:3">
      <c r="A10" s="15" t="s">
        <v>12</v>
      </c>
      <c r="B10" s="16" t="s">
        <v>13</v>
      </c>
      <c r="C10">
        <f>B9/B14</f>
        <v>-0.000146422910860215</v>
      </c>
    </row>
    <row r="11" ht="31" customHeight="1" spans="1:3">
      <c r="A11" s="15" t="s">
        <v>14</v>
      </c>
      <c r="B11" s="16">
        <v>-1486.12</v>
      </c>
    </row>
    <row r="12" ht="31" customHeight="1" spans="1:3">
      <c r="A12" s="19" t="s">
        <v>15</v>
      </c>
      <c r="B12" s="20" t="s">
        <v>13</v>
      </c>
    </row>
    <row r="13" ht="31" customHeight="1" spans="1:3">
      <c r="A13" s="10" t="s">
        <v>16</v>
      </c>
      <c r="B13" s="12"/>
    </row>
    <row r="14" ht="31" customHeight="1" spans="1:3">
      <c r="A14" s="3" t="s">
        <v>17</v>
      </c>
      <c r="B14" s="14">
        <v>10149504.55</v>
      </c>
    </row>
    <row r="15" ht="31" customHeight="1" spans="1:3">
      <c r="A15" s="3" t="s">
        <v>18</v>
      </c>
      <c r="B15" s="14">
        <v>10148018.43</v>
      </c>
    </row>
    <row r="16" ht="31" customHeight="1" spans="1:3">
      <c r="A16" s="3" t="s">
        <v>19</v>
      </c>
      <c r="B16" s="14">
        <v>10149504.55</v>
      </c>
    </row>
    <row r="17" ht="31" customHeight="1" spans="1:3">
      <c r="A17" s="3" t="s">
        <v>20</v>
      </c>
      <c r="B17" s="14">
        <v>1</v>
      </c>
    </row>
    <row r="18" ht="31" customHeight="1" spans="1:3">
      <c r="A18" s="15" t="s">
        <v>21</v>
      </c>
      <c r="B18" s="23">
        <v>0.99995</v>
      </c>
    </row>
    <row r="19" ht="31" customHeight="1" spans="1:3">
      <c r="A19" s="15" t="s">
        <v>22</v>
      </c>
      <c r="B19" s="23">
        <v>0.99985</v>
      </c>
    </row>
    <row r="20" ht="31" customHeight="1" spans="1:3">
      <c r="A20" s="15" t="s">
        <v>23</v>
      </c>
      <c r="B20" s="23" t="s">
        <v>24</v>
      </c>
    </row>
    <row r="21" ht="31" customHeight="1" spans="1:3">
      <c r="A21" s="19" t="s">
        <v>25</v>
      </c>
      <c r="B21" s="24">
        <v>0.99995</v>
      </c>
    </row>
    <row r="22" ht="31" customHeight="1" spans="1:3">
      <c r="A22" s="19" t="s">
        <v>26</v>
      </c>
      <c r="B22" s="24">
        <v>0.99985</v>
      </c>
    </row>
    <row r="23" ht="31" customHeight="1" spans="1:3">
      <c r="A23" s="19" t="s">
        <v>27</v>
      </c>
      <c r="B23" s="24" t="s">
        <v>24</v>
      </c>
    </row>
    <row r="24" ht="31" customHeight="1" spans="1:3">
      <c r="A24" s="10" t="s">
        <v>28</v>
      </c>
      <c r="B24" s="12"/>
    </row>
    <row r="25" ht="31" customHeight="1" spans="1:3">
      <c r="A25" s="3" t="s">
        <v>29</v>
      </c>
      <c r="B25" s="14">
        <v>467052.25</v>
      </c>
    </row>
    <row r="26" ht="31" customHeight="1" spans="1:3">
      <c r="A26" s="3" t="s">
        <v>30</v>
      </c>
      <c r="B26" s="14">
        <v>10148018.43</v>
      </c>
    </row>
    <row r="27" ht="31" customHeight="1" spans="1:3">
      <c r="A27" s="3" t="s">
        <v>31</v>
      </c>
      <c r="B27" s="14" t="s">
        <v>32</v>
      </c>
    </row>
    <row r="28" ht="31" customHeight="1" spans="1:3">
      <c r="A28" s="10" t="s">
        <v>33</v>
      </c>
      <c r="B28" s="12"/>
    </row>
    <row r="29" ht="125" customHeight="1" spans="1:3">
      <c r="A29" s="3" t="s">
        <v>34</v>
      </c>
      <c r="B29" s="25" t="s">
        <v>35</v>
      </c>
      <c r="C29" s="29"/>
    </row>
    <row r="30" ht="34" customHeight="1" spans="1:3">
      <c r="A30" s="10" t="s">
        <v>36</v>
      </c>
      <c r="B30" s="12"/>
    </row>
    <row r="31" ht="81" customHeight="1" spans="1:3">
      <c r="A31" s="3" t="s">
        <v>37</v>
      </c>
      <c r="B31" s="25" t="s">
        <v>38</v>
      </c>
      <c r="C31" s="29"/>
    </row>
  </sheetData>
  <mergeCells count="5">
    <mergeCell ref="A2:B2"/>
    <mergeCell ref="A13:B13"/>
    <mergeCell ref="A24:B24"/>
    <mergeCell ref="A28:B28"/>
    <mergeCell ref="A30:B30"/>
  </mergeCells>
  <printOptions horizontalCentered="1" verticalCentered="1"/>
  <pageMargins left="0.550694444444444" right="0.550694444444444" top="0.550694444444444" bottom="0.550694444444444" header="0" footer="0"/>
  <pageSetup paperSize="9" scale="48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1"/>
  <sheetViews>
    <sheetView zoomScale="70" zoomScaleNormal="70" workbookViewId="0">
      <selection activeCell="B23" sqref="B23"/>
    </sheetView>
  </sheetViews>
  <sheetFormatPr defaultColWidth="9" defaultRowHeight="14.4" outlineLevelCol="2"/>
  <cols>
    <col min="1" max="1" width="44" customWidth="1"/>
    <col min="2" max="2" width="67.4537037037037" customWidth="1"/>
    <col min="3" max="3" width="14.1111111111111"/>
  </cols>
  <sheetData>
    <row r="1" ht="27" customHeight="1" spans="1:3">
      <c r="A1" s="9" t="s">
        <v>0</v>
      </c>
      <c r="B1" s="9" t="s">
        <v>1</v>
      </c>
    </row>
    <row r="2" ht="27" customHeight="1" spans="1:3">
      <c r="A2" s="10" t="s">
        <v>2</v>
      </c>
      <c r="B2" s="12"/>
    </row>
    <row r="3" ht="27" customHeight="1" spans="1:3">
      <c r="A3" s="3" t="s">
        <v>3</v>
      </c>
      <c r="B3" s="13" t="s">
        <v>4</v>
      </c>
    </row>
    <row r="4" ht="27" customHeight="1" spans="1:3">
      <c r="A4" s="3" t="s">
        <v>5</v>
      </c>
      <c r="B4" s="13">
        <v>85012</v>
      </c>
    </row>
    <row r="5" ht="27" customHeight="1" spans="1:3">
      <c r="A5" s="3" t="s">
        <v>6</v>
      </c>
      <c r="B5" s="13" t="s">
        <v>7</v>
      </c>
    </row>
    <row r="6" ht="27" customHeight="1" spans="1:3">
      <c r="A6" s="3" t="s">
        <v>8</v>
      </c>
      <c r="B6" s="14">
        <v>10143208</v>
      </c>
    </row>
    <row r="7" ht="27" customHeight="1" spans="1:3">
      <c r="A7" s="3" t="s">
        <v>9</v>
      </c>
      <c r="B7" s="14">
        <v>0</v>
      </c>
    </row>
    <row r="8" ht="27" customHeight="1" spans="1:3">
      <c r="A8" s="3" t="s">
        <v>10</v>
      </c>
      <c r="B8" s="14">
        <v>0</v>
      </c>
    </row>
    <row r="9" ht="27" customHeight="1" spans="1:3">
      <c r="A9" s="15" t="s">
        <v>11</v>
      </c>
      <c r="B9" s="16">
        <v>-6296</v>
      </c>
      <c r="C9" s="27">
        <f>B6-B14</f>
        <v>-6296</v>
      </c>
    </row>
    <row r="10" ht="27" customHeight="1" spans="1:3">
      <c r="A10" s="15" t="s">
        <v>12</v>
      </c>
      <c r="B10" s="23" t="s">
        <v>39</v>
      </c>
      <c r="C10">
        <f>B9/B14</f>
        <v>-0.000620325879964183</v>
      </c>
    </row>
    <row r="11" ht="27" customHeight="1" spans="1:3">
      <c r="A11" s="19" t="s">
        <v>14</v>
      </c>
      <c r="B11" s="20">
        <v>-6296</v>
      </c>
    </row>
    <row r="12" ht="27" customHeight="1" spans="1:3">
      <c r="A12" s="19" t="s">
        <v>15</v>
      </c>
      <c r="B12" s="24" t="s">
        <v>39</v>
      </c>
    </row>
    <row r="13" ht="27" customHeight="1" spans="1:3">
      <c r="A13" s="10" t="s">
        <v>16</v>
      </c>
      <c r="B13" s="12"/>
    </row>
    <row r="14" ht="27" customHeight="1" spans="1:3">
      <c r="A14" s="3" t="s">
        <v>17</v>
      </c>
      <c r="B14" s="28">
        <v>10149504</v>
      </c>
    </row>
    <row r="15" ht="27" customHeight="1" spans="1:3">
      <c r="A15" s="3" t="s">
        <v>18</v>
      </c>
      <c r="B15" s="14">
        <v>10143208</v>
      </c>
    </row>
    <row r="16" ht="27" customHeight="1" spans="1:3">
      <c r="A16" s="3" t="s">
        <v>19</v>
      </c>
      <c r="B16" s="28">
        <v>10149504</v>
      </c>
    </row>
    <row r="17" ht="27" customHeight="1" spans="1:3">
      <c r="A17" s="3" t="s">
        <v>20</v>
      </c>
      <c r="B17" s="14">
        <v>1</v>
      </c>
    </row>
    <row r="18" ht="27" customHeight="1" spans="1:3">
      <c r="A18" s="15" t="s">
        <v>21</v>
      </c>
      <c r="B18" s="23">
        <v>1.00029</v>
      </c>
    </row>
    <row r="19" ht="27" customHeight="1" spans="1:3">
      <c r="A19" s="15" t="s">
        <v>22</v>
      </c>
      <c r="B19" s="23">
        <v>0.99938</v>
      </c>
    </row>
    <row r="20" ht="27" customHeight="1" spans="1:3">
      <c r="A20" s="15" t="s">
        <v>23</v>
      </c>
      <c r="B20" s="23" t="s">
        <v>40</v>
      </c>
    </row>
    <row r="21" ht="27" customHeight="1" spans="1:3">
      <c r="A21" s="19" t="s">
        <v>25</v>
      </c>
      <c r="B21" s="24">
        <v>1.00029</v>
      </c>
    </row>
    <row r="22" ht="27" customHeight="1" spans="1:3">
      <c r="A22" s="19" t="s">
        <v>26</v>
      </c>
      <c r="B22" s="24">
        <v>0.99938</v>
      </c>
    </row>
    <row r="23" ht="27" customHeight="1" spans="1:3">
      <c r="A23" s="19" t="s">
        <v>27</v>
      </c>
      <c r="B23" s="24" t="s">
        <v>40</v>
      </c>
    </row>
    <row r="24" ht="27" customHeight="1" spans="1:3">
      <c r="A24" s="10" t="s">
        <v>28</v>
      </c>
      <c r="B24" s="12"/>
    </row>
    <row r="25" ht="27" customHeight="1" spans="1:3">
      <c r="A25" s="3" t="s">
        <v>29</v>
      </c>
      <c r="B25" s="14">
        <v>467052.25</v>
      </c>
    </row>
    <row r="26" ht="27" customHeight="1" spans="1:3">
      <c r="A26" s="3" t="s">
        <v>30</v>
      </c>
      <c r="B26" s="14">
        <v>10143208</v>
      </c>
    </row>
    <row r="27" ht="27" customHeight="1" spans="1:3">
      <c r="A27" s="3" t="s">
        <v>31</v>
      </c>
      <c r="B27" s="14" t="s">
        <v>41</v>
      </c>
    </row>
    <row r="28" ht="27" customHeight="1" spans="1:3">
      <c r="A28" s="10" t="s">
        <v>33</v>
      </c>
      <c r="B28" s="12"/>
    </row>
    <row r="29" ht="125" customHeight="1" spans="1:3">
      <c r="A29" s="3" t="s">
        <v>34</v>
      </c>
      <c r="B29" s="25" t="s">
        <v>35</v>
      </c>
      <c r="C29" s="29"/>
    </row>
    <row r="30" ht="27" customHeight="1" spans="1:3">
      <c r="A30" s="10" t="s">
        <v>36</v>
      </c>
      <c r="B30" s="12"/>
    </row>
    <row r="31" ht="75" customHeight="1" spans="1:3">
      <c r="A31" s="3" t="s">
        <v>37</v>
      </c>
      <c r="B31" s="25" t="s">
        <v>38</v>
      </c>
      <c r="C31" s="29"/>
    </row>
  </sheetData>
  <mergeCells count="5">
    <mergeCell ref="A2:B2"/>
    <mergeCell ref="A13:B13"/>
    <mergeCell ref="A24:B24"/>
    <mergeCell ref="A28:B28"/>
    <mergeCell ref="A30:B30"/>
  </mergeCells>
  <printOptions horizontalCentered="1" verticalCentered="1"/>
  <pageMargins left="0.550694444444444" right="0.550694444444444" top="0.550694444444444" bottom="0.550694444444444" header="0" footer="0"/>
  <pageSetup paperSize="9" scale="49" orientation="landscape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2"/>
  <sheetViews>
    <sheetView zoomScale="55" zoomScaleNormal="55" topLeftCell="A19" workbookViewId="0">
      <selection activeCell="C26" sqref="C26:C28"/>
    </sheetView>
  </sheetViews>
  <sheetFormatPr defaultColWidth="9" defaultRowHeight="14.4" outlineLevelCol="3"/>
  <cols>
    <col min="1" max="1" width="54" customWidth="1"/>
    <col min="2" max="3" width="58" customWidth="1"/>
    <col min="4" max="4" width="12.9166666666667" customWidth="1"/>
  </cols>
  <sheetData>
    <row r="1" ht="27" customHeight="1" spans="1:3">
      <c r="A1" s="9" t="s">
        <v>0</v>
      </c>
      <c r="B1" s="26" t="s">
        <v>1</v>
      </c>
      <c r="C1" s="9" t="s">
        <v>0</v>
      </c>
    </row>
    <row r="2" ht="27" customHeight="1" spans="1:3">
      <c r="A2" s="10" t="s">
        <v>2</v>
      </c>
      <c r="B2" s="11"/>
      <c r="C2" s="12"/>
    </row>
    <row r="3" ht="27" customHeight="1" spans="1:3">
      <c r="A3" s="3" t="s">
        <v>3</v>
      </c>
      <c r="B3" s="13" t="s">
        <v>42</v>
      </c>
      <c r="C3" s="12"/>
    </row>
    <row r="4" ht="27" customHeight="1" spans="1:3">
      <c r="A4" s="3" t="s">
        <v>5</v>
      </c>
      <c r="B4" s="13">
        <v>85016</v>
      </c>
      <c r="C4" s="12"/>
    </row>
    <row r="5" ht="27" customHeight="1" spans="1:3">
      <c r="A5" s="3" t="s">
        <v>6</v>
      </c>
      <c r="B5" s="13" t="s">
        <v>43</v>
      </c>
      <c r="C5" s="13" t="s">
        <v>44</v>
      </c>
    </row>
    <row r="6" ht="27" customHeight="1" spans="1:3">
      <c r="A6" s="3" t="s">
        <v>45</v>
      </c>
      <c r="B6" s="14">
        <v>4100617.46</v>
      </c>
      <c r="C6" s="14">
        <v>870023.87</v>
      </c>
    </row>
    <row r="7" ht="27" customHeight="1" spans="1:3">
      <c r="A7" s="3" t="s">
        <v>8</v>
      </c>
      <c r="B7" s="14">
        <v>4970641.33</v>
      </c>
      <c r="C7" s="12"/>
    </row>
    <row r="8" ht="27" customHeight="1" spans="1:3">
      <c r="A8" s="3" t="s">
        <v>46</v>
      </c>
      <c r="B8" s="14">
        <v>0</v>
      </c>
      <c r="C8" s="14">
        <v>62.86</v>
      </c>
    </row>
    <row r="9" ht="27" customHeight="1" spans="1:3">
      <c r="A9" s="3" t="s">
        <v>10</v>
      </c>
      <c r="B9" s="14">
        <v>0</v>
      </c>
      <c r="C9" s="13" t="s">
        <v>47</v>
      </c>
    </row>
    <row r="10" ht="27" customHeight="1" spans="1:3">
      <c r="A10" s="15" t="s">
        <v>48</v>
      </c>
      <c r="B10" s="16">
        <v>7316.76</v>
      </c>
      <c r="C10" s="12"/>
    </row>
    <row r="11" ht="27" customHeight="1" spans="1:3">
      <c r="A11" s="15" t="s">
        <v>49</v>
      </c>
      <c r="B11" s="16" t="s">
        <v>50</v>
      </c>
      <c r="C11" s="12"/>
    </row>
    <row r="12" ht="27" customHeight="1" spans="1:3">
      <c r="A12" s="19" t="s">
        <v>51</v>
      </c>
      <c r="B12" s="20">
        <v>7253.9</v>
      </c>
      <c r="C12" s="12"/>
    </row>
    <row r="13" ht="27" customHeight="1" spans="1:3">
      <c r="A13" s="19" t="s">
        <v>52</v>
      </c>
      <c r="B13" s="20" t="s">
        <v>53</v>
      </c>
      <c r="C13" s="12"/>
    </row>
    <row r="14" ht="27" customHeight="1" spans="1:3">
      <c r="A14" s="10" t="s">
        <v>16</v>
      </c>
      <c r="B14" s="11"/>
      <c r="C14" s="12"/>
    </row>
    <row r="15" ht="27" customHeight="1" spans="1:3">
      <c r="A15" s="3" t="s">
        <v>17</v>
      </c>
      <c r="B15" s="14">
        <v>4963324.57</v>
      </c>
      <c r="C15" s="12"/>
    </row>
    <row r="16" ht="27" customHeight="1" spans="1:3">
      <c r="A16" s="3" t="s">
        <v>18</v>
      </c>
      <c r="B16" s="14">
        <v>4970641.33</v>
      </c>
      <c r="C16" s="12"/>
    </row>
    <row r="17" ht="27" customHeight="1" spans="1:4">
      <c r="A17" s="3" t="s">
        <v>19</v>
      </c>
      <c r="B17" s="14">
        <v>4963324.57</v>
      </c>
      <c r="C17" s="12"/>
    </row>
    <row r="18" ht="27" customHeight="1" spans="1:4">
      <c r="A18" s="3" t="s">
        <v>20</v>
      </c>
      <c r="B18" s="14">
        <v>1</v>
      </c>
      <c r="C18" s="12"/>
    </row>
    <row r="19" ht="27" customHeight="1" spans="1:4">
      <c r="A19" s="15" t="s">
        <v>54</v>
      </c>
      <c r="B19" s="23">
        <v>1.00112</v>
      </c>
      <c r="C19" s="12"/>
    </row>
    <row r="20" ht="27" customHeight="1" spans="1:4">
      <c r="A20" s="15" t="s">
        <v>55</v>
      </c>
      <c r="B20" s="23">
        <v>1.00147</v>
      </c>
      <c r="C20" s="12"/>
      <c r="D20" s="27"/>
    </row>
    <row r="21" ht="27" customHeight="1" spans="1:4">
      <c r="A21" s="15" t="s">
        <v>56</v>
      </c>
      <c r="B21" s="23" t="s">
        <v>57</v>
      </c>
      <c r="C21" s="12"/>
    </row>
    <row r="22" ht="27" customHeight="1" spans="1:4">
      <c r="A22" s="19" t="s">
        <v>58</v>
      </c>
      <c r="B22" s="24">
        <v>1.00111</v>
      </c>
      <c r="C22" s="12"/>
    </row>
    <row r="23" ht="27" customHeight="1" spans="1:4">
      <c r="A23" s="19" t="s">
        <v>59</v>
      </c>
      <c r="B23" s="24">
        <v>1.00146</v>
      </c>
      <c r="C23" s="12"/>
    </row>
    <row r="24" ht="27" customHeight="1" spans="1:4">
      <c r="A24" s="19" t="s">
        <v>60</v>
      </c>
      <c r="B24" s="24" t="s">
        <v>61</v>
      </c>
      <c r="C24" s="12"/>
    </row>
    <row r="25" ht="27" customHeight="1" spans="1:4">
      <c r="A25" s="10" t="s">
        <v>28</v>
      </c>
      <c r="B25" s="11"/>
      <c r="C25" s="12"/>
    </row>
    <row r="26" ht="27" customHeight="1" spans="1:4">
      <c r="A26" s="3" t="s">
        <v>29</v>
      </c>
      <c r="B26" s="14">
        <v>0</v>
      </c>
      <c r="C26" s="13" t="s">
        <v>47</v>
      </c>
    </row>
    <row r="27" ht="27" customHeight="1" spans="1:4">
      <c r="A27" s="3" t="s">
        <v>30</v>
      </c>
      <c r="B27" s="14">
        <v>4100617.46</v>
      </c>
      <c r="C27" s="13" t="s">
        <v>47</v>
      </c>
    </row>
    <row r="28" ht="27" customHeight="1" spans="1:4">
      <c r="A28" s="3" t="s">
        <v>31</v>
      </c>
      <c r="B28" s="14" t="s">
        <v>62</v>
      </c>
      <c r="C28" s="13" t="s">
        <v>47</v>
      </c>
    </row>
    <row r="29" ht="27" customHeight="1" spans="1:4">
      <c r="A29" s="10" t="s">
        <v>33</v>
      </c>
      <c r="B29" s="11"/>
      <c r="C29" s="12"/>
    </row>
    <row r="30" ht="225" customHeight="1" spans="1:4">
      <c r="A30" s="3" t="s">
        <v>34</v>
      </c>
      <c r="B30" s="25" t="s">
        <v>63</v>
      </c>
      <c r="C30" s="25" t="s">
        <v>64</v>
      </c>
    </row>
    <row r="31" ht="27" customHeight="1" spans="1:4">
      <c r="A31" s="10" t="s">
        <v>36</v>
      </c>
      <c r="B31" s="11"/>
      <c r="C31" s="12"/>
    </row>
    <row r="32" ht="125" customHeight="1" spans="1:4">
      <c r="A32" s="3" t="s">
        <v>37</v>
      </c>
      <c r="B32" s="25" t="s">
        <v>65</v>
      </c>
      <c r="C32" s="25" t="s">
        <v>66</v>
      </c>
    </row>
  </sheetData>
  <mergeCells count="22">
    <mergeCell ref="A2:C2"/>
    <mergeCell ref="B3:C3"/>
    <mergeCell ref="B4:C4"/>
    <mergeCell ref="B7:C7"/>
    <mergeCell ref="B10:C10"/>
    <mergeCell ref="B11:C11"/>
    <mergeCell ref="B12:C12"/>
    <mergeCell ref="B13:C13"/>
    <mergeCell ref="A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25:C25"/>
    <mergeCell ref="A29:C29"/>
    <mergeCell ref="A31:C31"/>
  </mergeCells>
  <printOptions horizontalCentered="1" verticalCentered="1"/>
  <pageMargins left="0.550694444444444" right="0.550694444444444" top="0.550694444444444" bottom="0.550694444444444" header="0" footer="0"/>
  <pageSetup paperSize="9" scale="42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4"/>
  <sheetViews>
    <sheetView zoomScale="55" zoomScaleNormal="55" workbookViewId="0">
      <selection activeCell="E34" sqref="E34"/>
    </sheetView>
  </sheetViews>
  <sheetFormatPr defaultColWidth="9" defaultRowHeight="14.4" outlineLevelCol="5"/>
  <cols>
    <col min="1" max="1" width="54" customWidth="1"/>
    <col min="2" max="3" width="58" customWidth="1"/>
    <col min="5" max="6" width="20.8055555555556" customWidth="1"/>
  </cols>
  <sheetData>
    <row r="1" ht="27" customHeight="1" spans="1:3">
      <c r="A1" s="9" t="s">
        <v>0</v>
      </c>
      <c r="B1" s="9" t="s">
        <v>1</v>
      </c>
      <c r="C1" s="9" t="s">
        <v>0</v>
      </c>
    </row>
    <row r="2" ht="27" customHeight="1" spans="1:3">
      <c r="A2" s="10" t="s">
        <v>2</v>
      </c>
      <c r="B2" s="11"/>
      <c r="C2" s="12"/>
    </row>
    <row r="3" ht="27" customHeight="1" spans="1:3">
      <c r="A3" s="3" t="s">
        <v>3</v>
      </c>
      <c r="B3" s="13" t="s">
        <v>42</v>
      </c>
      <c r="C3" s="12"/>
    </row>
    <row r="4" ht="27" customHeight="1" spans="1:3">
      <c r="A4" s="3" t="s">
        <v>5</v>
      </c>
      <c r="B4" s="13">
        <v>85016</v>
      </c>
      <c r="C4" s="12"/>
    </row>
    <row r="5" ht="27" customHeight="1" spans="1:3">
      <c r="A5" s="3" t="s">
        <v>6</v>
      </c>
      <c r="B5" s="13" t="s">
        <v>43</v>
      </c>
      <c r="C5" s="13" t="s">
        <v>44</v>
      </c>
    </row>
    <row r="6" ht="27" customHeight="1" spans="1:3">
      <c r="A6" s="3" t="s">
        <v>45</v>
      </c>
      <c r="B6" s="14">
        <v>4100617.45</v>
      </c>
      <c r="C6" s="14">
        <v>870023.87</v>
      </c>
    </row>
    <row r="7" ht="27" customHeight="1" spans="1:3">
      <c r="A7" s="3" t="s">
        <v>8</v>
      </c>
      <c r="B7" s="14">
        <v>4970641.32</v>
      </c>
      <c r="C7" s="12"/>
    </row>
    <row r="8" ht="27" customHeight="1" spans="1:3">
      <c r="A8" s="3" t="s">
        <v>46</v>
      </c>
      <c r="B8" s="14">
        <v>0</v>
      </c>
      <c r="C8" s="14">
        <v>62.86</v>
      </c>
    </row>
    <row r="9" ht="27" customHeight="1" spans="1:3">
      <c r="A9" s="3" t="s">
        <v>10</v>
      </c>
      <c r="B9" s="14">
        <v>0</v>
      </c>
      <c r="C9" s="13" t="s">
        <v>47</v>
      </c>
    </row>
    <row r="10" ht="27" customHeight="1" spans="1:3">
      <c r="A10" s="15" t="s">
        <v>67</v>
      </c>
      <c r="B10" s="16">
        <f>B6-E19</f>
        <v>492.290000000037</v>
      </c>
      <c r="C10" s="16">
        <f>C6-F19</f>
        <v>6824.48999999999</v>
      </c>
    </row>
    <row r="11" ht="27" customHeight="1" spans="1:3">
      <c r="A11" s="15" t="s">
        <v>48</v>
      </c>
      <c r="B11" s="16">
        <f>B10+C10</f>
        <v>7316.78000000003</v>
      </c>
      <c r="C11" s="12"/>
    </row>
    <row r="12" ht="27" customHeight="1" spans="1:3">
      <c r="A12" s="15" t="s">
        <v>49</v>
      </c>
      <c r="B12" s="17">
        <f>B11/B17</f>
        <v>0.00147416915754918</v>
      </c>
      <c r="C12" s="18"/>
    </row>
    <row r="13" ht="27" customHeight="1" spans="1:3">
      <c r="A13" s="19" t="s">
        <v>68</v>
      </c>
      <c r="B13" s="20">
        <f>B10-B9-B8</f>
        <v>492.290000000037</v>
      </c>
      <c r="C13" s="20">
        <f>C10-C8</f>
        <v>6761.62999999999</v>
      </c>
    </row>
    <row r="14" ht="27" customHeight="1" spans="1:3">
      <c r="A14" s="19" t="s">
        <v>51</v>
      </c>
      <c r="B14" s="20">
        <v>7253.89</v>
      </c>
      <c r="C14" s="12"/>
    </row>
    <row r="15" ht="27" customHeight="1" spans="1:3">
      <c r="A15" s="19" t="s">
        <v>52</v>
      </c>
      <c r="B15" s="21">
        <f>B14/B17</f>
        <v>0.00146149821509658</v>
      </c>
      <c r="C15" s="18"/>
    </row>
    <row r="16" ht="27" customHeight="1" spans="1:3">
      <c r="A16" s="10" t="s">
        <v>16</v>
      </c>
      <c r="B16" s="11"/>
      <c r="C16" s="12"/>
    </row>
    <row r="17" ht="27" customHeight="1" spans="1:6">
      <c r="A17" s="3" t="s">
        <v>17</v>
      </c>
      <c r="B17" s="14">
        <v>4963324.57</v>
      </c>
      <c r="C17" s="12"/>
    </row>
    <row r="18" ht="27" customHeight="1" spans="1:6">
      <c r="A18" s="3" t="s">
        <v>18</v>
      </c>
      <c r="B18" s="14">
        <v>4970641.32</v>
      </c>
      <c r="C18" s="12"/>
    </row>
    <row r="19" ht="27" customHeight="1" spans="1:6">
      <c r="A19" s="3" t="s">
        <v>19</v>
      </c>
      <c r="B19" s="14">
        <v>4963324.57</v>
      </c>
      <c r="C19" s="12"/>
      <c r="E19" s="22">
        <v>4100125.16</v>
      </c>
      <c r="F19" s="22">
        <v>863199.38</v>
      </c>
    </row>
    <row r="20" ht="27" customHeight="1" spans="1:6">
      <c r="A20" s="3" t="s">
        <v>20</v>
      </c>
      <c r="B20" s="14">
        <v>1</v>
      </c>
      <c r="C20" s="12"/>
    </row>
    <row r="21" ht="27" customHeight="1" spans="1:6">
      <c r="A21" s="15" t="s">
        <v>54</v>
      </c>
      <c r="B21" s="23">
        <v>1.00112</v>
      </c>
      <c r="C21" s="12"/>
    </row>
    <row r="22" ht="27" customHeight="1" spans="1:6">
      <c r="A22" s="15" t="s">
        <v>55</v>
      </c>
      <c r="B22" s="23">
        <v>1.00147</v>
      </c>
      <c r="C22" s="12"/>
    </row>
    <row r="23" ht="27" customHeight="1" spans="1:6">
      <c r="A23" s="15" t="s">
        <v>56</v>
      </c>
      <c r="B23" s="23" t="s">
        <v>57</v>
      </c>
      <c r="C23" s="12"/>
    </row>
    <row r="24" ht="27" customHeight="1" spans="1:6">
      <c r="A24" s="19" t="s">
        <v>58</v>
      </c>
      <c r="B24" s="24">
        <v>1.00111</v>
      </c>
      <c r="C24" s="12"/>
    </row>
    <row r="25" ht="27" customHeight="1" spans="1:6">
      <c r="A25" s="19" t="s">
        <v>59</v>
      </c>
      <c r="B25" s="24">
        <v>1.00146</v>
      </c>
      <c r="C25" s="12"/>
    </row>
    <row r="26" ht="27" customHeight="1" spans="1:6">
      <c r="A26" s="19" t="s">
        <v>60</v>
      </c>
      <c r="B26" s="24" t="s">
        <v>61</v>
      </c>
      <c r="C26" s="12"/>
    </row>
    <row r="27" ht="27" customHeight="1" spans="1:6">
      <c r="A27" s="10" t="s">
        <v>28</v>
      </c>
      <c r="B27" s="11"/>
      <c r="C27" s="12"/>
    </row>
    <row r="28" ht="27" customHeight="1" spans="1:6">
      <c r="A28" s="3" t="s">
        <v>29</v>
      </c>
      <c r="B28" s="14">
        <v>0</v>
      </c>
      <c r="C28" s="13" t="s">
        <v>47</v>
      </c>
    </row>
    <row r="29" ht="27" customHeight="1" spans="1:6">
      <c r="A29" s="3" t="s">
        <v>30</v>
      </c>
      <c r="B29" s="14">
        <v>4100617.45</v>
      </c>
      <c r="C29" s="13" t="s">
        <v>47</v>
      </c>
    </row>
    <row r="30" ht="27" customHeight="1" spans="1:6">
      <c r="A30" s="3" t="s">
        <v>31</v>
      </c>
      <c r="B30" s="14" t="s">
        <v>62</v>
      </c>
      <c r="C30" s="13" t="s">
        <v>47</v>
      </c>
    </row>
    <row r="31" ht="27" customHeight="1" spans="1:6">
      <c r="A31" s="10" t="s">
        <v>33</v>
      </c>
      <c r="B31" s="11"/>
      <c r="C31" s="12"/>
    </row>
    <row r="32" ht="225" customHeight="1" spans="1:6">
      <c r="A32" s="3" t="s">
        <v>34</v>
      </c>
      <c r="B32" s="25" t="s">
        <v>63</v>
      </c>
      <c r="C32" s="25" t="s">
        <v>64</v>
      </c>
    </row>
    <row r="33" ht="27" customHeight="1" spans="1:3">
      <c r="A33" s="10" t="s">
        <v>36</v>
      </c>
      <c r="B33" s="11"/>
      <c r="C33" s="12"/>
    </row>
    <row r="34" ht="125" customHeight="1" spans="1:3">
      <c r="A34" s="3" t="s">
        <v>37</v>
      </c>
      <c r="B34" s="25" t="s">
        <v>65</v>
      </c>
      <c r="C34" s="25" t="s">
        <v>66</v>
      </c>
    </row>
  </sheetData>
  <mergeCells count="22">
    <mergeCell ref="A2:C2"/>
    <mergeCell ref="B3:C3"/>
    <mergeCell ref="B4:C4"/>
    <mergeCell ref="B7:C7"/>
    <mergeCell ref="B11:C11"/>
    <mergeCell ref="B12:C12"/>
    <mergeCell ref="B14:C14"/>
    <mergeCell ref="B15:C15"/>
    <mergeCell ref="A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31:C31"/>
    <mergeCell ref="A33:C33"/>
  </mergeCells>
  <printOptions horizontalCentered="1" verticalCentered="1"/>
  <pageMargins left="0.550694444444444" right="0.550694444444444" top="0.550694444444444" bottom="0.550694444444444" header="0" footer="0"/>
  <pageSetup paperSize="9" scale="43" orientation="landscape" horizont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8"/>
  <sheetViews>
    <sheetView workbookViewId="0">
      <selection activeCell="G11" sqref="G11"/>
    </sheetView>
  </sheetViews>
  <sheetFormatPr defaultColWidth="9" defaultRowHeight="14.4" outlineLevelCol="3"/>
  <cols>
    <col min="1" max="1" width="15" customWidth="1"/>
    <col min="2" max="4" width="20" customWidth="1"/>
  </cols>
  <sheetData>
    <row r="1" ht="26" customHeight="1" spans="1:4">
      <c r="A1" s="1" t="s">
        <v>69</v>
      </c>
      <c r="B1" s="2"/>
      <c r="C1" s="2"/>
      <c r="D1" s="2"/>
    </row>
    <row r="2" ht="26" customHeight="1" spans="1:4">
      <c r="A2" s="2" t="s">
        <v>0</v>
      </c>
      <c r="B2" s="2" t="s">
        <v>70</v>
      </c>
      <c r="C2" s="2"/>
      <c r="D2" s="2" t="s">
        <v>71</v>
      </c>
    </row>
    <row r="3" ht="26" customHeight="1" spans="1:4">
      <c r="A3" s="7" t="s">
        <v>72</v>
      </c>
      <c r="B3" s="7" t="s">
        <v>73</v>
      </c>
      <c r="C3" s="7" t="s">
        <v>74</v>
      </c>
      <c r="D3" s="7" t="s">
        <v>75</v>
      </c>
    </row>
    <row r="4" ht="26" customHeight="1" spans="1:4">
      <c r="A4" s="7" t="s">
        <v>76</v>
      </c>
      <c r="B4" s="4">
        <v>36.04</v>
      </c>
      <c r="C4" s="5">
        <v>55.9</v>
      </c>
      <c r="D4" s="6">
        <v>-19.87</v>
      </c>
    </row>
    <row r="5" ht="26" customHeight="1" spans="1:4">
      <c r="A5" s="7" t="s">
        <v>77</v>
      </c>
      <c r="B5" s="4">
        <v>14.35</v>
      </c>
      <c r="C5" s="5">
        <v>19.84</v>
      </c>
      <c r="D5" s="6">
        <v>-5.48</v>
      </c>
    </row>
    <row r="6" ht="26" customHeight="1" spans="1:4">
      <c r="A6" s="7" t="s">
        <v>78</v>
      </c>
      <c r="B6" s="4">
        <v>130.28</v>
      </c>
      <c r="C6" s="5">
        <v>26.27</v>
      </c>
      <c r="D6" s="6">
        <v>104.02</v>
      </c>
    </row>
    <row r="7" ht="26" customHeight="1" spans="1:4">
      <c r="A7" s="7" t="s">
        <v>79</v>
      </c>
      <c r="B7" s="4">
        <v>44.27</v>
      </c>
      <c r="C7" s="5">
        <v>254.33</v>
      </c>
      <c r="D7" s="6">
        <v>-210.06</v>
      </c>
    </row>
    <row r="8" ht="26" customHeight="1" spans="1:4">
      <c r="A8" s="7" t="s">
        <v>80</v>
      </c>
      <c r="B8" s="4">
        <v>0</v>
      </c>
      <c r="C8" s="5">
        <v>0</v>
      </c>
      <c r="D8" s="6">
        <v>0</v>
      </c>
    </row>
    <row r="9" ht="26" customHeight="1" spans="1:4">
      <c r="A9" s="7" t="s">
        <v>81</v>
      </c>
      <c r="B9" s="4">
        <v>0</v>
      </c>
      <c r="C9" s="5">
        <v>0</v>
      </c>
      <c r="D9" s="6">
        <v>0</v>
      </c>
    </row>
    <row r="10" ht="26" customHeight="1" spans="1:4">
      <c r="A10" s="7" t="s">
        <v>82</v>
      </c>
      <c r="B10" s="4">
        <v>0</v>
      </c>
      <c r="C10" s="5">
        <v>0</v>
      </c>
      <c r="D10" s="6">
        <v>0</v>
      </c>
    </row>
    <row r="11" ht="26" customHeight="1" spans="1:4">
      <c r="A11" s="7" t="s">
        <v>83</v>
      </c>
      <c r="B11" s="4">
        <v>224.95</v>
      </c>
      <c r="C11" s="5">
        <v>356.34</v>
      </c>
      <c r="D11" s="6">
        <v>-131.39</v>
      </c>
    </row>
    <row r="12" ht="26" customHeight="1" spans="1:4">
      <c r="A12" s="8" t="s">
        <v>84</v>
      </c>
      <c r="B12" s="2"/>
      <c r="C12" s="2"/>
      <c r="D12" s="2"/>
    </row>
    <row r="13" ht="26" customHeight="1" spans="1:4">
      <c r="A13" s="8" t="s">
        <v>85</v>
      </c>
      <c r="B13" s="2" t="s">
        <v>32</v>
      </c>
      <c r="C13" s="2"/>
      <c r="D13" s="2"/>
    </row>
    <row r="14" ht="26" customHeight="1" spans="1:4">
      <c r="A14" s="8" t="s">
        <v>86</v>
      </c>
      <c r="B14" s="2">
        <v>1014.8</v>
      </c>
      <c r="C14" s="2"/>
      <c r="D14" s="2"/>
    </row>
    <row r="15" ht="26" customHeight="1" spans="1:4">
      <c r="A15" s="8" t="s">
        <v>87</v>
      </c>
      <c r="B15" s="2">
        <v>-1.13</v>
      </c>
      <c r="C15" s="2"/>
      <c r="D15" s="2"/>
    </row>
    <row r="16" ht="26" customHeight="1" spans="1:4">
      <c r="A16" s="8" t="s">
        <v>88</v>
      </c>
      <c r="B16" s="2">
        <v>581.29</v>
      </c>
      <c r="C16" s="2"/>
      <c r="D16" s="2"/>
    </row>
    <row r="17" ht="26" customHeight="1" spans="1:4">
      <c r="A17" s="8" t="s">
        <v>89</v>
      </c>
      <c r="B17" s="2">
        <v>581.29</v>
      </c>
      <c r="C17" s="2"/>
      <c r="D17" s="2"/>
    </row>
    <row r="18" ht="26" customHeight="1" spans="1:4">
      <c r="A18" s="8" t="s">
        <v>90</v>
      </c>
      <c r="B18" s="2">
        <v>-0.55</v>
      </c>
      <c r="C18" s="2"/>
      <c r="D18" s="2"/>
    </row>
  </sheetData>
  <mergeCells count="1">
    <mergeCell ref="A1:D1"/>
  </mergeCells>
  <printOptions horizontalCentered="1" verticalCentered="1"/>
  <pageMargins left="0.550694444444444" right="0.550694444444444" top="0.550694444444444" bottom="0.550694444444444" header="0" footer="0"/>
  <pageSetup paperSize="9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:D1"/>
    </sheetView>
  </sheetViews>
  <sheetFormatPr defaultColWidth="9" defaultRowHeight="14.4" outlineLevelCol="4"/>
  <cols>
    <col min="1" max="1" width="15" customWidth="1"/>
    <col min="2" max="4" width="20" customWidth="1"/>
    <col min="5" max="5" width="60" customWidth="1"/>
  </cols>
  <sheetData>
    <row r="1" ht="17.4" spans="1:5">
      <c r="A1" s="1" t="s">
        <v>69</v>
      </c>
    </row>
    <row r="2" spans="1:5">
      <c r="A2" s="2" t="s">
        <v>0</v>
      </c>
      <c r="B2" s="2" t="s">
        <v>70</v>
      </c>
      <c r="C2" s="2"/>
      <c r="D2" s="2" t="s">
        <v>71</v>
      </c>
    </row>
    <row r="3" ht="17.4" spans="1:5">
      <c r="A3" s="3" t="s">
        <v>72</v>
      </c>
      <c r="B3" s="3" t="s">
        <v>73</v>
      </c>
      <c r="C3" s="3" t="s">
        <v>74</v>
      </c>
      <c r="D3" s="3" t="s">
        <v>75</v>
      </c>
    </row>
    <row r="4" ht="17.4" spans="1:5">
      <c r="A4" s="3" t="s">
        <v>76</v>
      </c>
      <c r="B4" s="4">
        <v>36.04</v>
      </c>
      <c r="C4" s="5">
        <v>55.9</v>
      </c>
      <c r="D4" s="6">
        <v>-19.87</v>
      </c>
      <c r="E4" t="s">
        <v>91</v>
      </c>
    </row>
    <row r="5" ht="17.4" spans="1:5">
      <c r="A5" s="3" t="s">
        <v>77</v>
      </c>
      <c r="B5" s="4">
        <v>14.35</v>
      </c>
      <c r="C5" s="5">
        <v>19.84</v>
      </c>
      <c r="D5" s="6">
        <v>-5.48</v>
      </c>
      <c r="E5" t="s">
        <v>92</v>
      </c>
    </row>
    <row r="6" ht="17.4" spans="1:5">
      <c r="A6" s="3" t="s">
        <v>78</v>
      </c>
      <c r="B6" s="4">
        <v>130.28</v>
      </c>
      <c r="C6" s="5">
        <v>26.27</v>
      </c>
      <c r="D6" s="6">
        <v>104.02</v>
      </c>
      <c r="E6" t="s">
        <v>93</v>
      </c>
    </row>
    <row r="7" ht="17.4" spans="1:5">
      <c r="A7" s="3" t="s">
        <v>79</v>
      </c>
      <c r="B7" s="4">
        <v>44.27</v>
      </c>
      <c r="C7" s="5">
        <v>254.33</v>
      </c>
      <c r="D7" s="6">
        <v>-210.06</v>
      </c>
      <c r="E7" t="s">
        <v>94</v>
      </c>
    </row>
    <row r="8" ht="17.4" spans="1:5">
      <c r="A8" s="3" t="s">
        <v>80</v>
      </c>
      <c r="B8" s="4">
        <v>0</v>
      </c>
      <c r="C8" s="5">
        <v>0</v>
      </c>
      <c r="D8" s="6">
        <v>0</v>
      </c>
      <c r="E8" t="s">
        <v>95</v>
      </c>
    </row>
    <row r="9" ht="17.4" spans="1:5">
      <c r="A9" s="3" t="s">
        <v>81</v>
      </c>
      <c r="B9" s="4">
        <v>0</v>
      </c>
      <c r="C9" s="5">
        <v>0</v>
      </c>
      <c r="D9" s="6">
        <v>0</v>
      </c>
      <c r="E9" t="s">
        <v>95</v>
      </c>
    </row>
    <row r="10" ht="17.4" spans="1:5">
      <c r="A10" s="3" t="s">
        <v>82</v>
      </c>
      <c r="B10" s="4">
        <v>0</v>
      </c>
      <c r="C10" s="5">
        <v>0</v>
      </c>
      <c r="D10" s="6">
        <v>0</v>
      </c>
      <c r="E10" t="s">
        <v>95</v>
      </c>
    </row>
    <row r="11" ht="17.4" spans="1:5">
      <c r="A11" s="3" t="s">
        <v>83</v>
      </c>
      <c r="B11" s="4">
        <v>224.95</v>
      </c>
      <c r="C11" s="5">
        <v>356.34</v>
      </c>
      <c r="D11" s="6">
        <v>-131.39</v>
      </c>
    </row>
    <row r="12" spans="1:5">
      <c r="A12" s="2" t="s">
        <v>84</v>
      </c>
      <c r="B12" s="2"/>
      <c r="C12" s="2"/>
      <c r="D12" s="2"/>
    </row>
    <row r="13" spans="1:5">
      <c r="A13" s="2" t="s">
        <v>85</v>
      </c>
      <c r="B13" s="2" t="s">
        <v>32</v>
      </c>
      <c r="C13" s="2"/>
      <c r="D13" s="2"/>
    </row>
    <row r="14" spans="1:5">
      <c r="A14" s="2" t="s">
        <v>86</v>
      </c>
      <c r="B14" s="2">
        <v>1014.8</v>
      </c>
      <c r="C14" s="2"/>
      <c r="D14" s="2"/>
    </row>
    <row r="15" spans="1:5">
      <c r="A15" s="2" t="s">
        <v>87</v>
      </c>
      <c r="B15" s="2">
        <v>-1.13</v>
      </c>
      <c r="C15" s="2"/>
      <c r="D15" s="2"/>
    </row>
    <row r="16" spans="1:5">
      <c r="A16" s="2" t="s">
        <v>88</v>
      </c>
      <c r="B16" s="2">
        <v>581.29</v>
      </c>
      <c r="C16" s="2"/>
      <c r="D16" s="2"/>
    </row>
    <row r="17" spans="1:5">
      <c r="A17" s="2" t="s">
        <v>89</v>
      </c>
      <c r="B17" s="2">
        <v>581.29</v>
      </c>
      <c r="C17" s="2"/>
      <c r="D17" s="2"/>
      <c r="E17" t="s">
        <v>95</v>
      </c>
    </row>
    <row r="18" spans="1:5">
      <c r="A18" s="2" t="s">
        <v>90</v>
      </c>
      <c r="B18" s="2">
        <v>-0.55</v>
      </c>
      <c r="C18" s="2"/>
      <c r="D18" s="2"/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量化二-结算数据</vt:lpstr>
      <vt:lpstr>量化二-收盘数据</vt:lpstr>
      <vt:lpstr>量化三-结算数据</vt:lpstr>
      <vt:lpstr>量化三-收盘数据</vt:lpstr>
      <vt:lpstr>量化二持仓信息</vt:lpstr>
      <vt:lpstr>量化二持仓信息--详细统计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麦子</cp:lastModifiedBy>
  <dcterms:created xsi:type="dcterms:W3CDTF">2026-01-06T08:51:00Z</dcterms:created>
  <dcterms:modified xsi:type="dcterms:W3CDTF">2026-01-06T09:25:49Z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FB0BA53B862640E19F1C758AF84C723B_12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